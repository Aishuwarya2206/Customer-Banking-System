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rahul\OneDrive\Desktop\Banking customer\"/>
    </mc:Choice>
  </mc:AlternateContent>
  <bookViews>
    <workbookView xWindow="0" yWindow="0" windowWidth="19368" windowHeight="9192" activeTab="3"/>
  </bookViews>
  <sheets>
    <sheet name="pivot" sheetId="3" r:id="rId1"/>
    <sheet name="Dashboard" sheetId="4" r:id="rId2"/>
    <sheet name="CARD TYPE" sheetId="8" r:id="rId3"/>
    <sheet name="Customer Banking Dataset" sheetId="1" r:id="rId4"/>
  </sheets>
  <definedNames>
    <definedName name="Slicer_Account_Type">#N/A</definedName>
    <definedName name="Slicer_Card_Type1">#N/A</definedName>
    <definedName name="Slicer_City">#N/A</definedName>
    <definedName name="Slicer_Customer_Satisfaction_Rating">#N/A</definedName>
    <definedName name="Slicer_Gender">#N/A</definedName>
    <definedName name="Slicer_Internet_Banking__Yes_No">#N/A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Lst>
</workbook>
</file>

<file path=xl/calcChain.xml><?xml version="1.0" encoding="utf-8"?>
<calcChain xmlns="http://schemas.openxmlformats.org/spreadsheetml/2006/main">
  <c r="P19" i="1" l="1"/>
  <c r="P16" i="1"/>
  <c r="G1503" i="1"/>
  <c r="P13" i="1"/>
  <c r="P10" i="1"/>
  <c r="P7" i="1"/>
  <c r="P3" i="1" l="1"/>
</calcChain>
</file>

<file path=xl/sharedStrings.xml><?xml version="1.0" encoding="utf-8"?>
<sst xmlns="http://schemas.openxmlformats.org/spreadsheetml/2006/main" count="10585" uniqueCount="3041">
  <si>
    <t>Customer ID</t>
  </si>
  <si>
    <t>Customer Name</t>
  </si>
  <si>
    <t>Age</t>
  </si>
  <si>
    <t>Gender</t>
  </si>
  <si>
    <t>City</t>
  </si>
  <si>
    <t>Account Type</t>
  </si>
  <si>
    <t>Account Balance</t>
  </si>
  <si>
    <t>Loan Amount</t>
  </si>
  <si>
    <t>Credit Score</t>
  </si>
  <si>
    <t>Transaction Count</t>
  </si>
  <si>
    <t>Monthly Income</t>
  </si>
  <si>
    <t>Card Type</t>
  </si>
  <si>
    <t>Internet Banking (Yes/No)</t>
  </si>
  <si>
    <t>Customer Satisfaction Rating</t>
  </si>
  <si>
    <t>CUST0001</t>
  </si>
  <si>
    <t>Sahil Sanghvi</t>
  </si>
  <si>
    <t>Male</t>
  </si>
  <si>
    <t>Kolkata</t>
  </si>
  <si>
    <t>Savings</t>
  </si>
  <si>
    <t>Visa</t>
  </si>
  <si>
    <t>Yes</t>
  </si>
  <si>
    <t>CUST0002</t>
  </si>
  <si>
    <t>Tushar Ratta</t>
  </si>
  <si>
    <t>Female</t>
  </si>
  <si>
    <t>Pune</t>
  </si>
  <si>
    <t>Fixed Deposit</t>
  </si>
  <si>
    <t>RuPay</t>
  </si>
  <si>
    <t>CUST0003</t>
  </si>
  <si>
    <t>Jhanvi Ratti</t>
  </si>
  <si>
    <t>Delhi</t>
  </si>
  <si>
    <t>American Express</t>
  </si>
  <si>
    <t>CUST0004</t>
  </si>
  <si>
    <t>Vedika Kashyap</t>
  </si>
  <si>
    <t>No</t>
  </si>
  <si>
    <t>CUST0005</t>
  </si>
  <si>
    <t>Arnav Sathe</t>
  </si>
  <si>
    <t>CUST0006</t>
  </si>
  <si>
    <t>Samarth Mahal</t>
  </si>
  <si>
    <t>Bangalore</t>
  </si>
  <si>
    <t>Current</t>
  </si>
  <si>
    <t>MasterCard</t>
  </si>
  <si>
    <t>CUST0007</t>
  </si>
  <si>
    <t>Alia Bhagat</t>
  </si>
  <si>
    <t>CUST0008</t>
  </si>
  <si>
    <t>Jayan Venkatesh</t>
  </si>
  <si>
    <t>Ahmedabad</t>
  </si>
  <si>
    <t>CUST0009</t>
  </si>
  <si>
    <t>Samarth Chokshi</t>
  </si>
  <si>
    <t>Chennai</t>
  </si>
  <si>
    <t>CUST0010</t>
  </si>
  <si>
    <t>Manikya Chana</t>
  </si>
  <si>
    <t>CUST0011</t>
  </si>
  <si>
    <t>Aaryahi Saran</t>
  </si>
  <si>
    <t>CUST0012</t>
  </si>
  <si>
    <t>Rhea Grover</t>
  </si>
  <si>
    <t>Hyderabad</t>
  </si>
  <si>
    <t>CUST0013</t>
  </si>
  <si>
    <t>Nayantara Ahluwalia</t>
  </si>
  <si>
    <t>CUST0014</t>
  </si>
  <si>
    <t>Nehmat Kumer</t>
  </si>
  <si>
    <t>CUST0015</t>
  </si>
  <si>
    <t>Dishani Brar</t>
  </si>
  <si>
    <t>CUST0016</t>
  </si>
  <si>
    <t>Seher Mangal</t>
  </si>
  <si>
    <t>CUST0017</t>
  </si>
  <si>
    <t>Kaira Sahota</t>
  </si>
  <si>
    <t>CUST0018</t>
  </si>
  <si>
    <t>Reyansh Dyal</t>
  </si>
  <si>
    <t>CUST0019</t>
  </si>
  <si>
    <t>Rhea Baral</t>
  </si>
  <si>
    <t>CUST0020</t>
  </si>
  <si>
    <t>Veer Swamy</t>
  </si>
  <si>
    <t>CUST0021</t>
  </si>
  <si>
    <t>Bhavin Kumer</t>
  </si>
  <si>
    <t>CUST0022</t>
  </si>
  <si>
    <t>Rasha Kakar</t>
  </si>
  <si>
    <t>Mumbai</t>
  </si>
  <si>
    <t>CUST0023</t>
  </si>
  <si>
    <t>Vanya Datta</t>
  </si>
  <si>
    <t>CUST0024</t>
  </si>
  <si>
    <t>Amira Hegde</t>
  </si>
  <si>
    <t>Salary</t>
  </si>
  <si>
    <t>CUST0025</t>
  </si>
  <si>
    <t>Tara Bajaj</t>
  </si>
  <si>
    <t>CUST0026</t>
  </si>
  <si>
    <t>Hazel Raj</t>
  </si>
  <si>
    <t>CUST0027</t>
  </si>
  <si>
    <t>Rania Sibal</t>
  </si>
  <si>
    <t>CUST0028</t>
  </si>
  <si>
    <t>Badal Kalla</t>
  </si>
  <si>
    <t>CUST0029</t>
  </si>
  <si>
    <t>Amira Shenoy</t>
  </si>
  <si>
    <t>CUST0030</t>
  </si>
  <si>
    <t>Veer Yohannan</t>
  </si>
  <si>
    <t>CUST0031</t>
  </si>
  <si>
    <t>Mahika Bora</t>
  </si>
  <si>
    <t>CUST0032</t>
  </si>
  <si>
    <t>Hiran Bajaj</t>
  </si>
  <si>
    <t>CUST0033</t>
  </si>
  <si>
    <t>Dharmajan Ramanathan</t>
  </si>
  <si>
    <t>CUST0034</t>
  </si>
  <si>
    <t>Indrans Vig</t>
  </si>
  <si>
    <t>CUST0035</t>
  </si>
  <si>
    <t>Vaibhav Rattan</t>
  </si>
  <si>
    <t>CUST0036</t>
  </si>
  <si>
    <t>Akarsh Chaudhuri</t>
  </si>
  <si>
    <t>CUST0037</t>
  </si>
  <si>
    <t>Sumer Kara</t>
  </si>
  <si>
    <t>CUST0038</t>
  </si>
  <si>
    <t>Eva Bal</t>
  </si>
  <si>
    <t>CUST0039</t>
  </si>
  <si>
    <t>Aaina Gandhi</t>
  </si>
  <si>
    <t>CUST0040</t>
  </si>
  <si>
    <t>Ishaan Borde</t>
  </si>
  <si>
    <t>CUST0041</t>
  </si>
  <si>
    <t>Samar Bora</t>
  </si>
  <si>
    <t>CUST0042</t>
  </si>
  <si>
    <t>Ira Bassi</t>
  </si>
  <si>
    <t>CUST0043</t>
  </si>
  <si>
    <t>Badal Sandal</t>
  </si>
  <si>
    <t>CUST0044</t>
  </si>
  <si>
    <t>Ivan Guha</t>
  </si>
  <si>
    <t>CUST0045</t>
  </si>
  <si>
    <t>Lavanya Bobal</t>
  </si>
  <si>
    <t>CUST0046</t>
  </si>
  <si>
    <t>Anahi Dhar</t>
  </si>
  <si>
    <t>CUST0047</t>
  </si>
  <si>
    <t>Badal Mahal</t>
  </si>
  <si>
    <t>CUST0048</t>
  </si>
  <si>
    <t>Heer Gill</t>
  </si>
  <si>
    <t>CUST0049</t>
  </si>
  <si>
    <t>Jivin Seth</t>
  </si>
  <si>
    <t>CUST0050</t>
  </si>
  <si>
    <t>Amira Garg</t>
  </si>
  <si>
    <t>CUST0051</t>
  </si>
  <si>
    <t>Sahil Gade</t>
  </si>
  <si>
    <t>CUST0052</t>
  </si>
  <si>
    <t>Abram Lal</t>
  </si>
  <si>
    <t>CUST0053</t>
  </si>
  <si>
    <t>Zaina Babu</t>
  </si>
  <si>
    <t>CUST0054</t>
  </si>
  <si>
    <t>Damini Bahl</t>
  </si>
  <si>
    <t>CUST0055</t>
  </si>
  <si>
    <t>Kismat Chand</t>
  </si>
  <si>
    <t>CUST0056</t>
  </si>
  <si>
    <t>Uthkarsh Hans</t>
  </si>
  <si>
    <t>CUST0057</t>
  </si>
  <si>
    <t>Mishti Biswas</t>
  </si>
  <si>
    <t>CUST0058</t>
  </si>
  <si>
    <t>Miraan Dar</t>
  </si>
  <si>
    <t>CUST0059</t>
  </si>
  <si>
    <t>Khushi Ganguly</t>
  </si>
  <si>
    <t>CUST0060</t>
  </si>
  <si>
    <t>Pihu Dugar</t>
  </si>
  <si>
    <t>CUST0061</t>
  </si>
  <si>
    <t>Ela Basak</t>
  </si>
  <si>
    <t>CUST0062</t>
  </si>
  <si>
    <t>Dhanush Kalita</t>
  </si>
  <si>
    <t>CUST0063</t>
  </si>
  <si>
    <t>Zara Solanki</t>
  </si>
  <si>
    <t>CUST0064</t>
  </si>
  <si>
    <t>Zain Mahajan</t>
  </si>
  <si>
    <t>CUST0065</t>
  </si>
  <si>
    <t>Saira Kurian</t>
  </si>
  <si>
    <t>CUST0066</t>
  </si>
  <si>
    <t>Anahi Lanka</t>
  </si>
  <si>
    <t>CUST0067</t>
  </si>
  <si>
    <t>Kismat Sarna</t>
  </si>
  <si>
    <t>CUST0068</t>
  </si>
  <si>
    <t>Elakshi Wadhwa</t>
  </si>
  <si>
    <t>CUST0069</t>
  </si>
  <si>
    <t>Aayush Dhar</t>
  </si>
  <si>
    <t>CUST0070</t>
  </si>
  <si>
    <t>Shayak Raja</t>
  </si>
  <si>
    <t>CUST0071</t>
  </si>
  <si>
    <t>Hunar Contractor</t>
  </si>
  <si>
    <t>CUST0072</t>
  </si>
  <si>
    <t>Ritvik Krishnamurthy</t>
  </si>
  <si>
    <t>CUST0073</t>
  </si>
  <si>
    <t>Shalv Sundaram</t>
  </si>
  <si>
    <t>CUST0074</t>
  </si>
  <si>
    <t>Veer Ravi</t>
  </si>
  <si>
    <t>CUST0075</t>
  </si>
  <si>
    <t>Yuvaan Dass</t>
  </si>
  <si>
    <t>CUST0076</t>
  </si>
  <si>
    <t>Shray Amble</t>
  </si>
  <si>
    <t>CUST0077</t>
  </si>
  <si>
    <t>Riya Seshadri</t>
  </si>
  <si>
    <t>CUST0078</t>
  </si>
  <si>
    <t>Indranil Bala</t>
  </si>
  <si>
    <t>CUST0079</t>
  </si>
  <si>
    <t>Tiya Sampath</t>
  </si>
  <si>
    <t>CUST0080</t>
  </si>
  <si>
    <t>Pari Jayaraman</t>
  </si>
  <si>
    <t>CUST0081</t>
  </si>
  <si>
    <t>Saksham Varty</t>
  </si>
  <si>
    <t>CUST0082</t>
  </si>
  <si>
    <t>Devansh Sehgal</t>
  </si>
  <si>
    <t>CUST0083</t>
  </si>
  <si>
    <t>Jivika Gaba</t>
  </si>
  <si>
    <t>CUST0084</t>
  </si>
  <si>
    <t>Aarav Desai</t>
  </si>
  <si>
    <t>CUST0085</t>
  </si>
  <si>
    <t>Vardaniya Srinivasan</t>
  </si>
  <si>
    <t>CUST0086</t>
  </si>
  <si>
    <t>Heer Roy</t>
  </si>
  <si>
    <t>CUST0087</t>
  </si>
  <si>
    <t>Hrishita Saxena</t>
  </si>
  <si>
    <t>CUST0088</t>
  </si>
  <si>
    <t>Hansh Yogi</t>
  </si>
  <si>
    <t>CUST0089</t>
  </si>
  <si>
    <t>Samarth Lalla</t>
  </si>
  <si>
    <t>CUST0090</t>
  </si>
  <si>
    <t>Siya Borde</t>
  </si>
  <si>
    <t>CUST0091</t>
  </si>
  <si>
    <t>Charvi Hans</t>
  </si>
  <si>
    <t>CUST0092</t>
  </si>
  <si>
    <t>Hazel Talwar</t>
  </si>
  <si>
    <t>CUST0093</t>
  </si>
  <si>
    <t>Mishti Char</t>
  </si>
  <si>
    <t>CUST0094</t>
  </si>
  <si>
    <t>Faiyaz Saraf</t>
  </si>
  <si>
    <t>CUST0095</t>
  </si>
  <si>
    <t>Tara Dayal</t>
  </si>
  <si>
    <t>CUST0096</t>
  </si>
  <si>
    <t>Purab Balasubramanian</t>
  </si>
  <si>
    <t>CUST0097</t>
  </si>
  <si>
    <t>Indranil Dash</t>
  </si>
  <si>
    <t>CUST0098</t>
  </si>
  <si>
    <t>Gatik Bansal</t>
  </si>
  <si>
    <t>CUST0099</t>
  </si>
  <si>
    <t>Abram Bal</t>
  </si>
  <si>
    <t>CUST0100</t>
  </si>
  <si>
    <t>Dharmajan Deol</t>
  </si>
  <si>
    <t>CUST0101</t>
  </si>
  <si>
    <t>Advik Khatri</t>
  </si>
  <si>
    <t>CUST0102</t>
  </si>
  <si>
    <t>Manjari Dube</t>
  </si>
  <si>
    <t>CUST0103</t>
  </si>
  <si>
    <t>Tanya Rau</t>
  </si>
  <si>
    <t>CUST0104</t>
  </si>
  <si>
    <t>Badal Sen</t>
  </si>
  <si>
    <t>CUST0105</t>
  </si>
  <si>
    <t>Oorja Bir</t>
  </si>
  <si>
    <t>CUST0106</t>
  </si>
  <si>
    <t>Navya Kar</t>
  </si>
  <si>
    <t>CUST0107</t>
  </si>
  <si>
    <t>Baiju Upadhyay</t>
  </si>
  <si>
    <t>CUST0108</t>
  </si>
  <si>
    <t>Veer Sheth</t>
  </si>
  <si>
    <t>CUST0109</t>
  </si>
  <si>
    <t>Anvi Iyer</t>
  </si>
  <si>
    <t>CUST0110</t>
  </si>
  <si>
    <t>Stuvan Hans</t>
  </si>
  <si>
    <t>CUST0111</t>
  </si>
  <si>
    <t>Madhav Yohannan</t>
  </si>
  <si>
    <t>CUST0112</t>
  </si>
  <si>
    <t>Aaina Bassi</t>
  </si>
  <si>
    <t>CUST0113</t>
  </si>
  <si>
    <t>Seher Goswami</t>
  </si>
  <si>
    <t>CUST0114</t>
  </si>
  <si>
    <t>Keya Sundaram</t>
  </si>
  <si>
    <t>CUST0115</t>
  </si>
  <si>
    <t>Shray Mammen</t>
  </si>
  <si>
    <t>CUST0116</t>
  </si>
  <si>
    <t>Siya Kakar</t>
  </si>
  <si>
    <t>CUST0117</t>
  </si>
  <si>
    <t>Mahika Rama</t>
  </si>
  <si>
    <t>CUST0118</t>
  </si>
  <si>
    <t>Vanya Divan</t>
  </si>
  <si>
    <t>CUST0119</t>
  </si>
  <si>
    <t>Anay Dyal</t>
  </si>
  <si>
    <t>CUST0120</t>
  </si>
  <si>
    <t>Nehmat Sibal</t>
  </si>
  <si>
    <t>CUST0121</t>
  </si>
  <si>
    <t>Kanav Mane</t>
  </si>
  <si>
    <t>CUST0122</t>
  </si>
  <si>
    <t>Rhea Karpe</t>
  </si>
  <si>
    <t>CUST0123</t>
  </si>
  <si>
    <t>Veer Ram</t>
  </si>
  <si>
    <t>CUST0124</t>
  </si>
  <si>
    <t>Nakul Sule</t>
  </si>
  <si>
    <t>CUST0125</t>
  </si>
  <si>
    <t>Yashvi Comar</t>
  </si>
  <si>
    <t>CUST0126</t>
  </si>
  <si>
    <t>Vaibhav Sandal</t>
  </si>
  <si>
    <t>CUST0127</t>
  </si>
  <si>
    <t>Gatik Trivedi</t>
  </si>
  <si>
    <t>CUST0128</t>
  </si>
  <si>
    <t>Tarini Sibal</t>
  </si>
  <si>
    <t>CUST0129</t>
  </si>
  <si>
    <t>Eshani Chandran</t>
  </si>
  <si>
    <t>CUST0130</t>
  </si>
  <si>
    <t>Zeeshan Tank</t>
  </si>
  <si>
    <t>CUST0131</t>
  </si>
  <si>
    <t>Zain Sandal</t>
  </si>
  <si>
    <t>CUST0132</t>
  </si>
  <si>
    <t>Aarna Aggarwal</t>
  </si>
  <si>
    <t>CUST0133</t>
  </si>
  <si>
    <t>Anya Tailor</t>
  </si>
  <si>
    <t>CUST0134</t>
  </si>
  <si>
    <t>Sara Talwar</t>
  </si>
  <si>
    <t>CUST0135</t>
  </si>
  <si>
    <t>Aaina De</t>
  </si>
  <si>
    <t>CUST0136</t>
  </si>
  <si>
    <t>Raunak Vohra</t>
  </si>
  <si>
    <t>CUST0137</t>
  </si>
  <si>
    <t>Anaya Kamdar</t>
  </si>
  <si>
    <t>CUST0138</t>
  </si>
  <si>
    <t>Diya Chana</t>
  </si>
  <si>
    <t>CUST0139</t>
  </si>
  <si>
    <t>Nirvi Gera</t>
  </si>
  <si>
    <t>CUST0140</t>
  </si>
  <si>
    <t>Aayush Barad</t>
  </si>
  <si>
    <t>CUST0141</t>
  </si>
  <si>
    <t>Suhana Solanki</t>
  </si>
  <si>
    <t>CUST0142</t>
  </si>
  <si>
    <t>Bhamini Bawa</t>
  </si>
  <si>
    <t>CUST0143</t>
  </si>
  <si>
    <t>Prerak Bhatnagar</t>
  </si>
  <si>
    <t>CUST0144</t>
  </si>
  <si>
    <t>Taran Mallick</t>
  </si>
  <si>
    <t>CUST0145</t>
  </si>
  <si>
    <t>Devansh Kara</t>
  </si>
  <si>
    <t>CUST0146</t>
  </si>
  <si>
    <t>Aradhya Banerjee</t>
  </si>
  <si>
    <t>CUST0147</t>
  </si>
  <si>
    <t>Advika Bobal</t>
  </si>
  <si>
    <t>CUST0148</t>
  </si>
  <si>
    <t>Neelofar Sharma</t>
  </si>
  <si>
    <t>CUST0149</t>
  </si>
  <si>
    <t>Pihu Reddy</t>
  </si>
  <si>
    <t>CUST0150</t>
  </si>
  <si>
    <t>Aayush Mahajan</t>
  </si>
  <si>
    <t>CUST0151</t>
  </si>
  <si>
    <t>Akarsh Agarwal</t>
  </si>
  <si>
    <t>CUST0152</t>
  </si>
  <si>
    <t>Neelofar Kale</t>
  </si>
  <si>
    <t>CUST0153</t>
  </si>
  <si>
    <t>Gokul Singhal</t>
  </si>
  <si>
    <t>CUST0154</t>
  </si>
  <si>
    <t>Trisha Bhardwaj</t>
  </si>
  <si>
    <t>CUST0155</t>
  </si>
  <si>
    <t>Kismat Goda</t>
  </si>
  <si>
    <t>CUST0156</t>
  </si>
  <si>
    <t>Kabir Kadakia</t>
  </si>
  <si>
    <t>CUST0157</t>
  </si>
  <si>
    <t>Nitya Bhagat</t>
  </si>
  <si>
    <t>CUST0158</t>
  </si>
  <si>
    <t>Tiya Sehgal</t>
  </si>
  <si>
    <t>CUST0159</t>
  </si>
  <si>
    <t>Hazel Bandi</t>
  </si>
  <si>
    <t>CUST0160</t>
  </si>
  <si>
    <t>Zaina Bhandari</t>
  </si>
  <si>
    <t>CUST0161</t>
  </si>
  <si>
    <t>Madhav Goel</t>
  </si>
  <si>
    <t>CUST0162</t>
  </si>
  <si>
    <t>Ehsaan Kurian</t>
  </si>
  <si>
    <t>CUST0163</t>
  </si>
  <si>
    <t>Anahi Chad</t>
  </si>
  <si>
    <t>CUST0164</t>
  </si>
  <si>
    <t>Romil Chatterjee</t>
  </si>
  <si>
    <t>CUST0165</t>
  </si>
  <si>
    <t>Aarav Ravel</t>
  </si>
  <si>
    <t>CUST0166</t>
  </si>
  <si>
    <t>Oorja Bhagat</t>
  </si>
  <si>
    <t>CUST0167</t>
  </si>
  <si>
    <t>Aarush Bansal</t>
  </si>
  <si>
    <t>CUST0168</t>
  </si>
  <si>
    <t>Alisha Bhakta</t>
  </si>
  <si>
    <t>CUST0169</t>
  </si>
  <si>
    <t>Trisha Hora</t>
  </si>
  <si>
    <t>CUST0170</t>
  </si>
  <si>
    <t>Alia Mane</t>
  </si>
  <si>
    <t>CUST0171</t>
  </si>
  <si>
    <t>Advika Aggarwal</t>
  </si>
  <si>
    <t>CUST0172</t>
  </si>
  <si>
    <t>Baiju Bhatnagar</t>
  </si>
  <si>
    <t>CUST0173</t>
  </si>
  <si>
    <t>Nitya Wagle</t>
  </si>
  <si>
    <t>CUST0174</t>
  </si>
  <si>
    <t>Aaryahi D’Alia</t>
  </si>
  <si>
    <t>CUST0175</t>
  </si>
  <si>
    <t>Sahil Yohannan</t>
  </si>
  <si>
    <t>CUST0176</t>
  </si>
  <si>
    <t>Indranil Biswas</t>
  </si>
  <si>
    <t>CUST0177</t>
  </si>
  <si>
    <t>Kabir Bahl</t>
  </si>
  <si>
    <t>CUST0178</t>
  </si>
  <si>
    <t>Yashvi Verma</t>
  </si>
  <si>
    <t>CUST0179</t>
  </si>
  <si>
    <t>Tara Viswanathan</t>
  </si>
  <si>
    <t>CUST0180</t>
  </si>
  <si>
    <t>Vihaan Grover</t>
  </si>
  <si>
    <t>CUST0181</t>
  </si>
  <si>
    <t>Shray Suresh</t>
  </si>
  <si>
    <t>CUST0182</t>
  </si>
  <si>
    <t>Vanya Raval</t>
  </si>
  <si>
    <t>CUST0183</t>
  </si>
  <si>
    <t>Elakshi Ray</t>
  </si>
  <si>
    <t>CUST0184</t>
  </si>
  <si>
    <t>Jayan Divan</t>
  </si>
  <si>
    <t>CUST0185</t>
  </si>
  <si>
    <t>Neysa Datta</t>
  </si>
  <si>
    <t>CUST0186</t>
  </si>
  <si>
    <t>Shanaya Krishna</t>
  </si>
  <si>
    <t>CUST0187</t>
  </si>
  <si>
    <t>Tushar Yogi</t>
  </si>
  <si>
    <t>CUST0188</t>
  </si>
  <si>
    <t>Vihaan Devan</t>
  </si>
  <si>
    <t>CUST0189</t>
  </si>
  <si>
    <t>Kashvi Kadakia</t>
  </si>
  <si>
    <t>CUST0190</t>
  </si>
  <si>
    <t>Vedika Rastogi</t>
  </si>
  <si>
    <t>CUST0191</t>
  </si>
  <si>
    <t>Navya Guha</t>
  </si>
  <si>
    <t>CUST0192</t>
  </si>
  <si>
    <t>Adira Vohra</t>
  </si>
  <si>
    <t>CUST0193</t>
  </si>
  <si>
    <t>Biju Barad</t>
  </si>
  <si>
    <t>CUST0194</t>
  </si>
  <si>
    <t>Myra Andra</t>
  </si>
  <si>
    <t>CUST0195</t>
  </si>
  <si>
    <t>Vihaan Wali</t>
  </si>
  <si>
    <t>CUST0196</t>
  </si>
  <si>
    <t>Diya Sastry</t>
  </si>
  <si>
    <t>CUST0197</t>
  </si>
  <si>
    <t>Anya Choudhry</t>
  </si>
  <si>
    <t>CUST0198</t>
  </si>
  <si>
    <t>Inaaya  Atwal</t>
  </si>
  <si>
    <t>CUST0199</t>
  </si>
  <si>
    <t>Samiha Gour</t>
  </si>
  <si>
    <t>CUST0200</t>
  </si>
  <si>
    <t>Eva Deep</t>
  </si>
  <si>
    <t>CUST0201</t>
  </si>
  <si>
    <t>Badal Sehgal</t>
  </si>
  <si>
    <t>CUST0202</t>
  </si>
  <si>
    <t>Rania Singhal</t>
  </si>
  <si>
    <t>CUST0203</t>
  </si>
  <si>
    <t>Kashvi Dixit</t>
  </si>
  <si>
    <t>CUST0204</t>
  </si>
  <si>
    <t>Azad Bahl</t>
  </si>
  <si>
    <t>CUST0205</t>
  </si>
  <si>
    <t>Shamik Kari</t>
  </si>
  <si>
    <t>CUST0206</t>
  </si>
  <si>
    <t>Mishti Sarna</t>
  </si>
  <si>
    <t>CUST0207</t>
  </si>
  <si>
    <t>Vaibhav Srivastava</t>
  </si>
  <si>
    <t>CUST0208</t>
  </si>
  <si>
    <t>Tara Cheema</t>
  </si>
  <si>
    <t>CUST0209</t>
  </si>
  <si>
    <t>Rohan Chad</t>
  </si>
  <si>
    <t>CUST0210</t>
  </si>
  <si>
    <t>Veer Chana</t>
  </si>
  <si>
    <t>CUST0211</t>
  </si>
  <si>
    <t>Kimaya Sagar</t>
  </si>
  <si>
    <t>CUST0212</t>
  </si>
  <si>
    <t>Shanaya Hayre</t>
  </si>
  <si>
    <t>CUST0213</t>
  </si>
  <si>
    <t>Yuvaan Tailor</t>
  </si>
  <si>
    <t>CUST0214</t>
  </si>
  <si>
    <t>Yakshit Hayer</t>
  </si>
  <si>
    <t>CUST0215</t>
  </si>
  <si>
    <t>Kimaya Kapoor</t>
  </si>
  <si>
    <t>CUST0216</t>
  </si>
  <si>
    <t>Hazel Walia</t>
  </si>
  <si>
    <t>CUST0217</t>
  </si>
  <si>
    <t>Dishani Tata</t>
  </si>
  <si>
    <t>CUST0218</t>
  </si>
  <si>
    <t>Tiya Guha</t>
  </si>
  <si>
    <t>CUST0219</t>
  </si>
  <si>
    <t>Jiya Gopal</t>
  </si>
  <si>
    <t>CUST0220</t>
  </si>
  <si>
    <t>Jayant Bora</t>
  </si>
  <si>
    <t>CUST0221</t>
  </si>
  <si>
    <t>Shlok Vasa</t>
  </si>
  <si>
    <t>CUST0222</t>
  </si>
  <si>
    <t>Anahi Handa</t>
  </si>
  <si>
    <t>CUST0223</t>
  </si>
  <si>
    <t>Rasha Lala</t>
  </si>
  <si>
    <t>CUST0224</t>
  </si>
  <si>
    <t>Vihaan Mane</t>
  </si>
  <si>
    <t>CUST0225</t>
  </si>
  <si>
    <t>Madhav Bhardwaj</t>
  </si>
  <si>
    <t>CUST0226</t>
  </si>
  <si>
    <t>Vaibhav Chandran</t>
  </si>
  <si>
    <t>CUST0227</t>
  </si>
  <si>
    <t>Prerak Chhabra</t>
  </si>
  <si>
    <t>CUST0228</t>
  </si>
  <si>
    <t>Nehmat D’Alia</t>
  </si>
  <si>
    <t>CUST0229</t>
  </si>
  <si>
    <t>Pihu Sami</t>
  </si>
  <si>
    <t>CUST0230</t>
  </si>
  <si>
    <t>Bhamini Raman</t>
  </si>
  <si>
    <t>CUST0231</t>
  </si>
  <si>
    <t>Hridaan Savant</t>
  </si>
  <si>
    <t>CUST0232</t>
  </si>
  <si>
    <t>Ela Walia</t>
  </si>
  <si>
    <t>CUST0233</t>
  </si>
  <si>
    <t>Darshit Trivedi</t>
  </si>
  <si>
    <t>CUST0234</t>
  </si>
  <si>
    <t>Kimaya Apte</t>
  </si>
  <si>
    <t>CUST0235</t>
  </si>
  <si>
    <t>Bhamini Wali</t>
  </si>
  <si>
    <t>CUST0236</t>
  </si>
  <si>
    <t>Taimur Bhakta</t>
  </si>
  <si>
    <t>CUST0237</t>
  </si>
  <si>
    <t>Pari Varghese</t>
  </si>
  <si>
    <t>CUST0238</t>
  </si>
  <si>
    <t>Damini Uppal</t>
  </si>
  <si>
    <t>CUST0239</t>
  </si>
  <si>
    <t>Arhaan Badami</t>
  </si>
  <si>
    <t>CUST0240</t>
  </si>
  <si>
    <t>Nirvi Sundaram</t>
  </si>
  <si>
    <t>CUST0241</t>
  </si>
  <si>
    <t>Zeeshan Bora</t>
  </si>
  <si>
    <t>CUST0242</t>
  </si>
  <si>
    <t>Vritika Raja</t>
  </si>
  <si>
    <t>CUST0243</t>
  </si>
  <si>
    <t>Keya Bhatia</t>
  </si>
  <si>
    <t>CUST0244</t>
  </si>
  <si>
    <t>Pari Talwar</t>
  </si>
  <si>
    <t>CUST0245</t>
  </si>
  <si>
    <t>Dhanuk Dani</t>
  </si>
  <si>
    <t>CUST0246</t>
  </si>
  <si>
    <t>Eva Bora</t>
  </si>
  <si>
    <t>CUST0247</t>
  </si>
  <si>
    <t>Samar Tripathi</t>
  </si>
  <si>
    <t>CUST0248</t>
  </si>
  <si>
    <t>Devansh Loyal</t>
  </si>
  <si>
    <t>CUST0249</t>
  </si>
  <si>
    <t>Vihaan Mannan</t>
  </si>
  <si>
    <t>CUST0250</t>
  </si>
  <si>
    <t>Elakshi Bahri</t>
  </si>
  <si>
    <t>CUST0251</t>
  </si>
  <si>
    <t>Madhav Mander</t>
  </si>
  <si>
    <t>CUST0252</t>
  </si>
  <si>
    <t>Shlok Yadav</t>
  </si>
  <si>
    <t>CUST0253</t>
  </si>
  <si>
    <t>Kismat Soni</t>
  </si>
  <si>
    <t>CUST0254</t>
  </si>
  <si>
    <t>Aayush Arora</t>
  </si>
  <si>
    <t>CUST0255</t>
  </si>
  <si>
    <t>Hrishita Borra</t>
  </si>
  <si>
    <t>CUST0256</t>
  </si>
  <si>
    <t>Manikya Gade</t>
  </si>
  <si>
    <t>CUST0257</t>
  </si>
  <si>
    <t>Ehsaan Chaudhuri</t>
  </si>
  <si>
    <t>CUST0258</t>
  </si>
  <si>
    <t>Anay Varughese</t>
  </si>
  <si>
    <t>CUST0259</t>
  </si>
  <si>
    <t>Indrans Chada</t>
  </si>
  <si>
    <t>CUST0260</t>
  </si>
  <si>
    <t>Anvi Issac</t>
  </si>
  <si>
    <t>CUST0261</t>
  </si>
  <si>
    <t>Anahi Bera</t>
  </si>
  <si>
    <t>CUST0262</t>
  </si>
  <si>
    <t>Akarsh Dugar</t>
  </si>
  <si>
    <t>CUST0263</t>
  </si>
  <si>
    <t>Zoya Balan</t>
  </si>
  <si>
    <t>CUST0264</t>
  </si>
  <si>
    <t>Lakshit Sampath</t>
  </si>
  <si>
    <t>CUST0265</t>
  </si>
  <si>
    <t>Aayush Sant</t>
  </si>
  <si>
    <t>CUST0266</t>
  </si>
  <si>
    <t>Neelofar Kothari</t>
  </si>
  <si>
    <t>CUST0267</t>
  </si>
  <si>
    <t>Kaira Bala</t>
  </si>
  <si>
    <t>CUST0268</t>
  </si>
  <si>
    <t>Zeeshan Sahni</t>
  </si>
  <si>
    <t>CUST0269</t>
  </si>
  <si>
    <t>Khushi Seshadri</t>
  </si>
  <si>
    <t>CUST0270</t>
  </si>
  <si>
    <t>Shalv Zachariah</t>
  </si>
  <si>
    <t>CUST0271</t>
  </si>
  <si>
    <t>Veer Ravel</t>
  </si>
  <si>
    <t>CUST0272</t>
  </si>
  <si>
    <t>Devansh Cherian</t>
  </si>
  <si>
    <t>CUST0273</t>
  </si>
  <si>
    <t>Samarth Basu</t>
  </si>
  <si>
    <t>CUST0274</t>
  </si>
  <si>
    <t>Umang Acharya</t>
  </si>
  <si>
    <t>CUST0275</t>
  </si>
  <si>
    <t>Renee Shan</t>
  </si>
  <si>
    <t>CUST0276</t>
  </si>
  <si>
    <t>Alisha Chandra</t>
  </si>
  <si>
    <t>CUST0277</t>
  </si>
  <si>
    <t>Jivin Batta</t>
  </si>
  <si>
    <t>CUST0278</t>
  </si>
  <si>
    <t>Yashvi Dash</t>
  </si>
  <si>
    <t>CUST0279</t>
  </si>
  <si>
    <t>Renee Brar</t>
  </si>
  <si>
    <t>CUST0280</t>
  </si>
  <si>
    <t>Shlok Apte</t>
  </si>
  <si>
    <t>CUST0281</t>
  </si>
  <si>
    <t>Trisha Mall</t>
  </si>
  <si>
    <t>CUST0282</t>
  </si>
  <si>
    <t>Zoya Kala</t>
  </si>
  <si>
    <t>CUST0283</t>
  </si>
  <si>
    <t>Vihaan Wable</t>
  </si>
  <si>
    <t>CUST0284</t>
  </si>
  <si>
    <t>Jivin Boase</t>
  </si>
  <si>
    <t>CUST0285</t>
  </si>
  <si>
    <t>Anahi Banik</t>
  </si>
  <si>
    <t>CUST0286</t>
  </si>
  <si>
    <t>Reyansh Doshi</t>
  </si>
  <si>
    <t>CUST0287</t>
  </si>
  <si>
    <t>Piya Shere</t>
  </si>
  <si>
    <t>CUST0288</t>
  </si>
  <si>
    <t>Mehul Suri</t>
  </si>
  <si>
    <t>CUST0289</t>
  </si>
  <si>
    <t>Samiha Varkey</t>
  </si>
  <si>
    <t>CUST0290</t>
  </si>
  <si>
    <t>Arnav Baral</t>
  </si>
  <si>
    <t>CUST0291</t>
  </si>
  <si>
    <t>Yasmin Desai</t>
  </si>
  <si>
    <t>CUST0292</t>
  </si>
  <si>
    <t>Tanya Garg</t>
  </si>
  <si>
    <t>CUST0293</t>
  </si>
  <si>
    <t>Anya Ravel</t>
  </si>
  <si>
    <t>CUST0294</t>
  </si>
  <si>
    <t>Navya Loyal</t>
  </si>
  <si>
    <t>CUST0295</t>
  </si>
  <si>
    <t>Shamik Sur</t>
  </si>
  <si>
    <t>CUST0296</t>
  </si>
  <si>
    <t>Hazel Bala</t>
  </si>
  <si>
    <t>CUST0297</t>
  </si>
  <si>
    <t>Devansh Tara</t>
  </si>
  <si>
    <t>CUST0298</t>
  </si>
  <si>
    <t>Arhaan Doctor</t>
  </si>
  <si>
    <t>CUST0299</t>
  </si>
  <si>
    <t>Jhanvi Walia</t>
  </si>
  <si>
    <t>CUST0300</t>
  </si>
  <si>
    <t>Aarna Amble</t>
  </si>
  <si>
    <t>CUST0301</t>
  </si>
  <si>
    <t>Raunak Khurana</t>
  </si>
  <si>
    <t>CUST0302</t>
  </si>
  <si>
    <t>Lagan Chauhan</t>
  </si>
  <si>
    <t>CUST0303</t>
  </si>
  <si>
    <t>Tushar Bera</t>
  </si>
  <si>
    <t>CUST0304</t>
  </si>
  <si>
    <t>Emir Dua</t>
  </si>
  <si>
    <t>CUST0305</t>
  </si>
  <si>
    <t>Shaan D’Alia</t>
  </si>
  <si>
    <t>CUST0306</t>
  </si>
  <si>
    <t>Vivaan Vig</t>
  </si>
  <si>
    <t>CUST0307</t>
  </si>
  <si>
    <t>Inaaya  Swaminathan</t>
  </si>
  <si>
    <t>CUST0308</t>
  </si>
  <si>
    <t>Alisha Walla</t>
  </si>
  <si>
    <t>CUST0309</t>
  </si>
  <si>
    <t>Raghav Krishna</t>
  </si>
  <si>
    <t>CUST0310</t>
  </si>
  <si>
    <t>Tejas Comar</t>
  </si>
  <si>
    <t>CUST0311</t>
  </si>
  <si>
    <t>Tarini Tiwari</t>
  </si>
  <si>
    <t>CUST0312</t>
  </si>
  <si>
    <t>Riya Swaminathan</t>
  </si>
  <si>
    <t>CUST0313</t>
  </si>
  <si>
    <t>Vritika Handa</t>
  </si>
  <si>
    <t>CUST0314</t>
  </si>
  <si>
    <t>Manikya Cheema</t>
  </si>
  <si>
    <t>CUST0315</t>
  </si>
  <si>
    <t>Alia Gulati</t>
  </si>
  <si>
    <t>CUST0316</t>
  </si>
  <si>
    <t>Nirvaan Bumb</t>
  </si>
  <si>
    <t>CUST0317</t>
  </si>
  <si>
    <t>Tarini Dayal</t>
  </si>
  <si>
    <t>CUST0318</t>
  </si>
  <si>
    <t>Abram Khatri</t>
  </si>
  <si>
    <t>CUST0319</t>
  </si>
  <si>
    <t>Pari Tandon</t>
  </si>
  <si>
    <t>CUST0320</t>
  </si>
  <si>
    <t>Stuvan Venkataraman</t>
  </si>
  <si>
    <t>CUST0321</t>
  </si>
  <si>
    <t>Mehul Saha</t>
  </si>
  <si>
    <t>CUST0322</t>
  </si>
  <si>
    <t>Hansh Sehgal</t>
  </si>
  <si>
    <t>CUST0323</t>
  </si>
  <si>
    <t>Rati Iyengar</t>
  </si>
  <si>
    <t>CUST0324</t>
  </si>
  <si>
    <t>Aarush Chada</t>
  </si>
  <si>
    <t>CUST0325</t>
  </si>
  <si>
    <t>Akarsh Rout</t>
  </si>
  <si>
    <t>CUST0326</t>
  </si>
  <si>
    <t>Ayesha Comar</t>
  </si>
  <si>
    <t>CUST0327</t>
  </si>
  <si>
    <t>Nirvi Khalsa</t>
  </si>
  <si>
    <t>CUST0328</t>
  </si>
  <si>
    <t>Zeeshan Kale</t>
  </si>
  <si>
    <t>CUST0329</t>
  </si>
  <si>
    <t>Jivin Bera</t>
  </si>
  <si>
    <t>CUST0330</t>
  </si>
  <si>
    <t>Anya Kamdar</t>
  </si>
  <si>
    <t>CUST0331</t>
  </si>
  <si>
    <t>Oorja Edwin</t>
  </si>
  <si>
    <t>CUST0332</t>
  </si>
  <si>
    <t>Gokul Dasgupta</t>
  </si>
  <si>
    <t>CUST0333</t>
  </si>
  <si>
    <t>Vidur Wagle</t>
  </si>
  <si>
    <t>CUST0334</t>
  </si>
  <si>
    <t>Zara Bhatnagar</t>
  </si>
  <si>
    <t>CUST0335</t>
  </si>
  <si>
    <t>Zeeshan Mane</t>
  </si>
  <si>
    <t>CUST0336</t>
  </si>
  <si>
    <t>Armaan Jani</t>
  </si>
  <si>
    <t>CUST0337</t>
  </si>
  <si>
    <t>Arnav Singhal</t>
  </si>
  <si>
    <t>CUST0338</t>
  </si>
  <si>
    <t>Zain Batta</t>
  </si>
  <si>
    <t>CUST0339</t>
  </si>
  <si>
    <t>Anvi Jain</t>
  </si>
  <si>
    <t>CUST0340</t>
  </si>
  <si>
    <t>Ela Tripathi</t>
  </si>
  <si>
    <t>CUST0341</t>
  </si>
  <si>
    <t>Khushi Kannan</t>
  </si>
  <si>
    <t>CUST0342</t>
  </si>
  <si>
    <t>Prisha Bobal</t>
  </si>
  <si>
    <t>CUST0343</t>
  </si>
  <si>
    <t>Neysa Krishnamurthy</t>
  </si>
  <si>
    <t>CUST0344</t>
  </si>
  <si>
    <t>Piya Rastogi</t>
  </si>
  <si>
    <t>CUST0345</t>
  </si>
  <si>
    <t>Devansh Gara</t>
  </si>
  <si>
    <t>CUST0346</t>
  </si>
  <si>
    <t>Kismat Jayaraman</t>
  </si>
  <si>
    <t>CUST0347</t>
  </si>
  <si>
    <t>Samarth Bal</t>
  </si>
  <si>
    <t>CUST0348</t>
  </si>
  <si>
    <t>Sumer Warrior</t>
  </si>
  <si>
    <t>CUST0349</t>
  </si>
  <si>
    <t>Dishani Sami</t>
  </si>
  <si>
    <t>CUST0350</t>
  </si>
  <si>
    <t>Onkar Hayer</t>
  </si>
  <si>
    <t>CUST0351</t>
  </si>
  <si>
    <t>Shayak Bhardwaj</t>
  </si>
  <si>
    <t>CUST0352</t>
  </si>
  <si>
    <t>Anahita Varty</t>
  </si>
  <si>
    <t>CUST0353</t>
  </si>
  <si>
    <t>Shlok Brar</t>
  </si>
  <si>
    <t>CUST0354</t>
  </si>
  <si>
    <t>Sumer Ram</t>
  </si>
  <si>
    <t>CUST0355</t>
  </si>
  <si>
    <t>Akarsh Kapadia</t>
  </si>
  <si>
    <t>CUST0356</t>
  </si>
  <si>
    <t>Zeeshan Bedi</t>
  </si>
  <si>
    <t>CUST0357</t>
  </si>
  <si>
    <t>Arnav Gaba</t>
  </si>
  <si>
    <t>CUST0358</t>
  </si>
  <si>
    <t>Vardaniya Sen</t>
  </si>
  <si>
    <t>CUST0359</t>
  </si>
  <si>
    <t>Ira Ratta</t>
  </si>
  <si>
    <t>CUST0360</t>
  </si>
  <si>
    <t>Jayesh Randhawa</t>
  </si>
  <si>
    <t>CUST0361</t>
  </si>
  <si>
    <t>Anahi Date</t>
  </si>
  <si>
    <t>CUST0362</t>
  </si>
  <si>
    <t>Vihaan Talwar</t>
  </si>
  <si>
    <t>CUST0363</t>
  </si>
  <si>
    <t>Parinaaz Sekhon</t>
  </si>
  <si>
    <t>CUST0364</t>
  </si>
  <si>
    <t>Onkar Sampath</t>
  </si>
  <si>
    <t>CUST0365</t>
  </si>
  <si>
    <t>Nirvi Mangat</t>
  </si>
  <si>
    <t>CUST0366</t>
  </si>
  <si>
    <t>Kismat Acharya</t>
  </si>
  <si>
    <t>CUST0367</t>
  </si>
  <si>
    <t>Prerak Ray</t>
  </si>
  <si>
    <t>CUST0368</t>
  </si>
  <si>
    <t>Baiju Bakshi</t>
  </si>
  <si>
    <t>CUST0369</t>
  </si>
  <si>
    <t>Tushar Bhandari</t>
  </si>
  <si>
    <t>CUST0370</t>
  </si>
  <si>
    <t>Arhaan Madan</t>
  </si>
  <si>
    <t>CUST0371</t>
  </si>
  <si>
    <t>Ranbir Chana</t>
  </si>
  <si>
    <t>CUST0372</t>
  </si>
  <si>
    <t>Nitara Sidhu</t>
  </si>
  <si>
    <t>CUST0373</t>
  </si>
  <si>
    <t>Riaan Choudhury</t>
  </si>
  <si>
    <t>CUST0374</t>
  </si>
  <si>
    <t>Himmat Chhabra</t>
  </si>
  <si>
    <t>CUST0375</t>
  </si>
  <si>
    <t>Riaan Sachdeva</t>
  </si>
  <si>
    <t>CUST0376</t>
  </si>
  <si>
    <t>Anya Hayre</t>
  </si>
  <si>
    <t>CUST0377</t>
  </si>
  <si>
    <t>Lakshay Dhaliwal</t>
  </si>
  <si>
    <t>CUST0378</t>
  </si>
  <si>
    <t>Advik Shroff</t>
  </si>
  <si>
    <t>CUST0379</t>
  </si>
  <si>
    <t>Zeeshan Seth</t>
  </si>
  <si>
    <t>CUST0380</t>
  </si>
  <si>
    <t>Gatik Raju</t>
  </si>
  <si>
    <t>CUST0381</t>
  </si>
  <si>
    <t>Oorja Barad</t>
  </si>
  <si>
    <t>CUST0382</t>
  </si>
  <si>
    <t>Parinaaz Desai</t>
  </si>
  <si>
    <t>CUST0383</t>
  </si>
  <si>
    <t>Kabir Choudhury</t>
  </si>
  <si>
    <t>CUST0384</t>
  </si>
  <si>
    <t>Rohan Uppal</t>
  </si>
  <si>
    <t>CUST0385</t>
  </si>
  <si>
    <t>Taran Kadakia</t>
  </si>
  <si>
    <t>CUST0386</t>
  </si>
  <si>
    <t>Damini Thakkar</t>
  </si>
  <si>
    <t>CUST0387</t>
  </si>
  <si>
    <t>Gatik Bajwa</t>
  </si>
  <si>
    <t>CUST0388</t>
  </si>
  <si>
    <t>Samaira Sarkar</t>
  </si>
  <si>
    <t>CUST0389</t>
  </si>
  <si>
    <t>Charvi Dhar</t>
  </si>
  <si>
    <t>CUST0390</t>
  </si>
  <si>
    <t>Anahita Bumb</t>
  </si>
  <si>
    <t>CUST0391</t>
  </si>
  <si>
    <t>Jayant Venkatesh</t>
  </si>
  <si>
    <t>CUST0392</t>
  </si>
  <si>
    <t>Mohanlal Kapadia</t>
  </si>
  <si>
    <t>CUST0393</t>
  </si>
  <si>
    <t>Sana Keer</t>
  </si>
  <si>
    <t>CUST0394</t>
  </si>
  <si>
    <t>Azad Kibe</t>
  </si>
  <si>
    <t>CUST0395</t>
  </si>
  <si>
    <t>Myra Koshy</t>
  </si>
  <si>
    <t>CUST0396</t>
  </si>
  <si>
    <t>Aradhya Singhal</t>
  </si>
  <si>
    <t>CUST0397</t>
  </si>
  <si>
    <t>Ivan Seshadri</t>
  </si>
  <si>
    <t>CUST0398</t>
  </si>
  <si>
    <t>Samarth Warrior</t>
  </si>
  <si>
    <t>CUST0399</t>
  </si>
  <si>
    <t>Taran Arya</t>
  </si>
  <si>
    <t>CUST0400</t>
  </si>
  <si>
    <t>Renee Baria</t>
  </si>
  <si>
    <t>CUST0401</t>
  </si>
  <si>
    <t>Azad Saini</t>
  </si>
  <si>
    <t>CUST0402</t>
  </si>
  <si>
    <t>Kartik Sarma</t>
  </si>
  <si>
    <t>CUST0403</t>
  </si>
  <si>
    <t>Rhea Sen</t>
  </si>
  <si>
    <t>CUST0404</t>
  </si>
  <si>
    <t>Ryan Bajwa</t>
  </si>
  <si>
    <t>CUST0405</t>
  </si>
  <si>
    <t>Advik Borde</t>
  </si>
  <si>
    <t>CUST0406</t>
  </si>
  <si>
    <t>Raunak Venkatesh</t>
  </si>
  <si>
    <t>CUST0407</t>
  </si>
  <si>
    <t>Riaan Mangat</t>
  </si>
  <si>
    <t>CUST0408</t>
  </si>
  <si>
    <t>Anika Karnik</t>
  </si>
  <si>
    <t>CUST0409</t>
  </si>
  <si>
    <t>Piya Yadav</t>
  </si>
  <si>
    <t>CUST0410</t>
  </si>
  <si>
    <t>Bhamini Kurian</t>
  </si>
  <si>
    <t>CUST0411</t>
  </si>
  <si>
    <t>Kimaya Malhotra</t>
  </si>
  <si>
    <t>CUST0412</t>
  </si>
  <si>
    <t>Kanav Jha</t>
  </si>
  <si>
    <t>CUST0413</t>
  </si>
  <si>
    <t>Devansh Deol</t>
  </si>
  <si>
    <t>CUST0414</t>
  </si>
  <si>
    <t>Gatik Shankar</t>
  </si>
  <si>
    <t>CUST0415</t>
  </si>
  <si>
    <t>Taimur Hayer</t>
  </si>
  <si>
    <t>CUST0416</t>
  </si>
  <si>
    <t>Alia Dhawan</t>
  </si>
  <si>
    <t>CUST0417</t>
  </si>
  <si>
    <t>Aarush Cheema</t>
  </si>
  <si>
    <t>CUST0418</t>
  </si>
  <si>
    <t>Hiran Sengupta</t>
  </si>
  <si>
    <t>CUST0419</t>
  </si>
  <si>
    <t>Purab Contractor</t>
  </si>
  <si>
    <t>CUST0420</t>
  </si>
  <si>
    <t>Drishya Kata</t>
  </si>
  <si>
    <t>CUST0421</t>
  </si>
  <si>
    <t>Pari Kalla</t>
  </si>
  <si>
    <t>CUST0422</t>
  </si>
  <si>
    <t>Jiya Yogi</t>
  </si>
  <si>
    <t>CUST0423</t>
  </si>
  <si>
    <t>Kavya Sant</t>
  </si>
  <si>
    <t>CUST0424</t>
  </si>
  <si>
    <t>Umang Kothari</t>
  </si>
  <si>
    <t>CUST0425</t>
  </si>
  <si>
    <t>Indrans Raju</t>
  </si>
  <si>
    <t>CUST0426</t>
  </si>
  <si>
    <t>Pihu Loke</t>
  </si>
  <si>
    <t>CUST0427</t>
  </si>
  <si>
    <t>Nirvi Bhattacharyya</t>
  </si>
  <si>
    <t>CUST0428</t>
  </si>
  <si>
    <t>Ivana Warrior</t>
  </si>
  <si>
    <t>CUST0429</t>
  </si>
  <si>
    <t>Zaina Raja</t>
  </si>
  <si>
    <t>CUST0430</t>
  </si>
  <si>
    <t>Lakshay Chada</t>
  </si>
  <si>
    <t>CUST0431</t>
  </si>
  <si>
    <t>Anvi Dubey</t>
  </si>
  <si>
    <t>CUST0432</t>
  </si>
  <si>
    <t>Aarush Mall</t>
  </si>
  <si>
    <t>CUST0433</t>
  </si>
  <si>
    <t>Shanaya Korpal</t>
  </si>
  <si>
    <t>CUST0434</t>
  </si>
  <si>
    <t>Kimaya Bhattacharyya</t>
  </si>
  <si>
    <t>CUST0435</t>
  </si>
  <si>
    <t>Anay Upadhyay</t>
  </si>
  <si>
    <t>CUST0436</t>
  </si>
  <si>
    <t>Hazel Warrior</t>
  </si>
  <si>
    <t>CUST0437</t>
  </si>
  <si>
    <t>Aaryahi Ramakrishnan</t>
  </si>
  <si>
    <t>CUST0438</t>
  </si>
  <si>
    <t>Priyansh Seshadri</t>
  </si>
  <si>
    <t>CUST0439</t>
  </si>
  <si>
    <t>Tarini Edwin</t>
  </si>
  <si>
    <t>CUST0440</t>
  </si>
  <si>
    <t>Keya Gala</t>
  </si>
  <si>
    <t>CUST0441</t>
  </si>
  <si>
    <t>Nirvi Kade</t>
  </si>
  <si>
    <t>CUST0442</t>
  </si>
  <si>
    <t>Kashvi Hans</t>
  </si>
  <si>
    <t>CUST0443</t>
  </si>
  <si>
    <t>Alisha Sura</t>
  </si>
  <si>
    <t>CUST0444</t>
  </si>
  <si>
    <t>Reyansh Devi</t>
  </si>
  <si>
    <t>CUST0445</t>
  </si>
  <si>
    <t>Ayesha Tiwari</t>
  </si>
  <si>
    <t>CUST0446</t>
  </si>
  <si>
    <t>Nishith Reddy</t>
  </si>
  <si>
    <t>CUST0447</t>
  </si>
  <si>
    <t>Indranil Rege</t>
  </si>
  <si>
    <t>CUST0448</t>
  </si>
  <si>
    <t>Mohanlal Bassi</t>
  </si>
  <si>
    <t>CUST0449</t>
  </si>
  <si>
    <t>Divij Sem</t>
  </si>
  <si>
    <t>CUST0450</t>
  </si>
  <si>
    <t>Alisha Savant</t>
  </si>
  <si>
    <t>CUST0451</t>
  </si>
  <si>
    <t>Drishya Cheema</t>
  </si>
  <si>
    <t>CUST0452</t>
  </si>
  <si>
    <t>Saira Kala</t>
  </si>
  <si>
    <t>CUST0453</t>
  </si>
  <si>
    <t>Vedika Ratta</t>
  </si>
  <si>
    <t>CUST0454</t>
  </si>
  <si>
    <t>Krish Tata</t>
  </si>
  <si>
    <t>CUST0455</t>
  </si>
  <si>
    <t>Jhanvi Banik</t>
  </si>
  <si>
    <t>CUST0456</t>
  </si>
  <si>
    <t>Shanaya Bhatnagar</t>
  </si>
  <si>
    <t>CUST0457</t>
  </si>
  <si>
    <t>Jayan Kant</t>
  </si>
  <si>
    <t>CUST0458</t>
  </si>
  <si>
    <t>Prerak Chawla</t>
  </si>
  <si>
    <t>CUST0459</t>
  </si>
  <si>
    <t>Vidur Seshadri</t>
  </si>
  <si>
    <t>CUST0460</t>
  </si>
  <si>
    <t>Rhea Chokshi</t>
  </si>
  <si>
    <t>CUST0461</t>
  </si>
  <si>
    <t>Madhup Gour</t>
  </si>
  <si>
    <t>CUST0462</t>
  </si>
  <si>
    <t>Vardaniya Roy</t>
  </si>
  <si>
    <t>CUST0463</t>
  </si>
  <si>
    <t>Kabir Barman</t>
  </si>
  <si>
    <t>CUST0464</t>
  </si>
  <si>
    <t>Emir Ganesh</t>
  </si>
  <si>
    <t>CUST0465</t>
  </si>
  <si>
    <t>Amira Chada</t>
  </si>
  <si>
    <t>CUST0466</t>
  </si>
  <si>
    <t>Vanya Ravel</t>
  </si>
  <si>
    <t>CUST0467</t>
  </si>
  <si>
    <t>Raghav Walla</t>
  </si>
  <si>
    <t>CUST0468</t>
  </si>
  <si>
    <t>Bhavin Chadha</t>
  </si>
  <si>
    <t>CUST0469</t>
  </si>
  <si>
    <t>Vanya Kamdar</t>
  </si>
  <si>
    <t>CUST0470</t>
  </si>
  <si>
    <t>Darshit Kari</t>
  </si>
  <si>
    <t>CUST0471</t>
  </si>
  <si>
    <t>Samar Thaman</t>
  </si>
  <si>
    <t>CUST0472</t>
  </si>
  <si>
    <t>Mamooty Srinivas</t>
  </si>
  <si>
    <t>CUST0473</t>
  </si>
  <si>
    <t>Hazel Chokshi</t>
  </si>
  <si>
    <t>CUST0474</t>
  </si>
  <si>
    <t>Samiha Dugal</t>
  </si>
  <si>
    <t>CUST0475</t>
  </si>
  <si>
    <t>Tushar Wagle</t>
  </si>
  <si>
    <t>CUST0476</t>
  </si>
  <si>
    <t>Dharmajan Bava</t>
  </si>
  <si>
    <t>CUST0477</t>
  </si>
  <si>
    <t>Keya Kala</t>
  </si>
  <si>
    <t>CUST0478</t>
  </si>
  <si>
    <t>Yashvi Choudhury</t>
  </si>
  <si>
    <t>CUST0479</t>
  </si>
  <si>
    <t>Priyansh Dhar</t>
  </si>
  <si>
    <t>CUST0480</t>
  </si>
  <si>
    <t>Pihu Dyal</t>
  </si>
  <si>
    <t>CUST0481</t>
  </si>
  <si>
    <t>Ranbir Bava</t>
  </si>
  <si>
    <t>CUST0482</t>
  </si>
  <si>
    <t>Kavya Halder</t>
  </si>
  <si>
    <t>CUST0483</t>
  </si>
  <si>
    <t>Nirvi Thaker</t>
  </si>
  <si>
    <t>CUST0484</t>
  </si>
  <si>
    <t>Charvi Yadav</t>
  </si>
  <si>
    <t>CUST0485</t>
  </si>
  <si>
    <t>Ivan Batra</t>
  </si>
  <si>
    <t>CUST0486</t>
  </si>
  <si>
    <t>Samar Doshi</t>
  </si>
  <si>
    <t>CUST0487</t>
  </si>
  <si>
    <t>Amani Sankar</t>
  </si>
  <si>
    <t>CUST0488</t>
  </si>
  <si>
    <t>Aradhya Karan</t>
  </si>
  <si>
    <t>CUST0489</t>
  </si>
  <si>
    <t>Ranbir Aurora</t>
  </si>
  <si>
    <t>CUST0490</t>
  </si>
  <si>
    <t>Jayesh Wali</t>
  </si>
  <si>
    <t>CUST0491</t>
  </si>
  <si>
    <t>Taran Ramachandran</t>
  </si>
  <si>
    <t>CUST0492</t>
  </si>
  <si>
    <t>Sana Sethi</t>
  </si>
  <si>
    <t>CUST0493</t>
  </si>
  <si>
    <t>Vivaan Saha</t>
  </si>
  <si>
    <t>CUST0494</t>
  </si>
  <si>
    <t>Manjari Ramanathan</t>
  </si>
  <si>
    <t>CUST0495</t>
  </si>
  <si>
    <t>Aarav Ganesh</t>
  </si>
  <si>
    <t>CUST0496</t>
  </si>
  <si>
    <t>Taimur Ratti</t>
  </si>
  <si>
    <t>CUST0497</t>
  </si>
  <si>
    <t>Mamooty Sant</t>
  </si>
  <si>
    <t>CUST0498</t>
  </si>
  <si>
    <t>Divit Keer</t>
  </si>
  <si>
    <t>CUST0499</t>
  </si>
  <si>
    <t>Madhup Deshmukh</t>
  </si>
  <si>
    <t>CUST0500</t>
  </si>
  <si>
    <t>Arnav Tiwari</t>
  </si>
  <si>
    <t>CUST0501</t>
  </si>
  <si>
    <t>Sara Trivedi</t>
  </si>
  <si>
    <t>CUST0502</t>
  </si>
  <si>
    <t>Rasha Bhat</t>
  </si>
  <si>
    <t>CUST0503</t>
  </si>
  <si>
    <t>Adira Sen</t>
  </si>
  <si>
    <t>CUST0504</t>
  </si>
  <si>
    <t>Jayant Barman</t>
  </si>
  <si>
    <t>CUST0505</t>
  </si>
  <si>
    <t>Alia Sharaf</t>
  </si>
  <si>
    <t>CUST0506</t>
  </si>
  <si>
    <t>Kismat Dass</t>
  </si>
  <si>
    <t>CUST0507</t>
  </si>
  <si>
    <t>Jivin Ramakrishnan</t>
  </si>
  <si>
    <t>CUST0508</t>
  </si>
  <si>
    <t>Tarini Chowdhury</t>
  </si>
  <si>
    <t>CUST0509</t>
  </si>
  <si>
    <t>Kiara Reddy</t>
  </si>
  <si>
    <t>CUST0510</t>
  </si>
  <si>
    <t>Oorja Chaudhary</t>
  </si>
  <si>
    <t>CUST0511</t>
  </si>
  <si>
    <t>Damini Korpal</t>
  </si>
  <si>
    <t>CUST0512</t>
  </si>
  <si>
    <t>Raghav Iyer</t>
  </si>
  <si>
    <t>CUST0513</t>
  </si>
  <si>
    <t>Samaira Sahota</t>
  </si>
  <si>
    <t>CUST0514</t>
  </si>
  <si>
    <t>Hansh Tailor</t>
  </si>
  <si>
    <t>CUST0515</t>
  </si>
  <si>
    <t>Bhamini Barad</t>
  </si>
  <si>
    <t>CUST0516</t>
  </si>
  <si>
    <t>Lavanya Sahota</t>
  </si>
  <si>
    <t>CUST0517</t>
  </si>
  <si>
    <t>Nitya Shenoy</t>
  </si>
  <si>
    <t>CUST0518</t>
  </si>
  <si>
    <t>Mamooty Viswanathan</t>
  </si>
  <si>
    <t>CUST0519</t>
  </si>
  <si>
    <t>Siya Kunda</t>
  </si>
  <si>
    <t>CUST0520</t>
  </si>
  <si>
    <t>Nirvi Chhabra</t>
  </si>
  <si>
    <t>CUST0521</t>
  </si>
  <si>
    <t>Drishya Master</t>
  </si>
  <si>
    <t>CUST0522</t>
  </si>
  <si>
    <t>Hridaan Gaba</t>
  </si>
  <si>
    <t>CUST0523</t>
  </si>
  <si>
    <t>Reyansh Chawla</t>
  </si>
  <si>
    <t>CUST0524</t>
  </si>
  <si>
    <t>Nirvaan Contractor</t>
  </si>
  <si>
    <t>CUST0525</t>
  </si>
  <si>
    <t>Diya Chawla</t>
  </si>
  <si>
    <t>CUST0526</t>
  </si>
  <si>
    <t>Shanaya Khatri</t>
  </si>
  <si>
    <t>CUST0527</t>
  </si>
  <si>
    <t>Anay Rout</t>
  </si>
  <si>
    <t>CUST0528</t>
  </si>
  <si>
    <t>Seher Swamy</t>
  </si>
  <si>
    <t>CUST0529</t>
  </si>
  <si>
    <t>Amira Bains</t>
  </si>
  <si>
    <t>CUST0530</t>
  </si>
  <si>
    <t>Riaan Atwal</t>
  </si>
  <si>
    <t>CUST0531</t>
  </si>
  <si>
    <t>Dhruv Hans</t>
  </si>
  <si>
    <t>CUST0532</t>
  </si>
  <si>
    <t>Aarush Ghosh</t>
  </si>
  <si>
    <t>CUST0533</t>
  </si>
  <si>
    <t>Prisha Bava</t>
  </si>
  <si>
    <t>CUST0534</t>
  </si>
  <si>
    <t>Mamooty Sachdev</t>
  </si>
  <si>
    <t>CUST0535</t>
  </si>
  <si>
    <t>Madhup Banerjee</t>
  </si>
  <si>
    <t>CUST0536</t>
  </si>
  <si>
    <t>Darshit Balay</t>
  </si>
  <si>
    <t>CUST0537</t>
  </si>
  <si>
    <t>Kashvi Bansal</t>
  </si>
  <si>
    <t>CUST0538</t>
  </si>
  <si>
    <t>Dharmajan Ahuja</t>
  </si>
  <si>
    <t>CUST0539</t>
  </si>
  <si>
    <t>Jhanvi Babu</t>
  </si>
  <si>
    <t>CUST0540</t>
  </si>
  <si>
    <t>Miraan Basak</t>
  </si>
  <si>
    <t>CUST0541</t>
  </si>
  <si>
    <t>Alisha Setty</t>
  </si>
  <si>
    <t>CUST0542</t>
  </si>
  <si>
    <t>Hansh Ratti</t>
  </si>
  <si>
    <t>CUST0543</t>
  </si>
  <si>
    <t>Neelofar Thakur</t>
  </si>
  <si>
    <t>CUST0544</t>
  </si>
  <si>
    <t>Kiara Dayal</t>
  </si>
  <si>
    <t>CUST0545</t>
  </si>
  <si>
    <t>Tanya Sathe</t>
  </si>
  <si>
    <t>CUST0546</t>
  </si>
  <si>
    <t>Himmat De</t>
  </si>
  <si>
    <t>CUST0547</t>
  </si>
  <si>
    <t>Vidur Thaman</t>
  </si>
  <si>
    <t>CUST0548</t>
  </si>
  <si>
    <t>Priyansh Mannan</t>
  </si>
  <si>
    <t>CUST0549</t>
  </si>
  <si>
    <t>Tara Handa</t>
  </si>
  <si>
    <t>CUST0550</t>
  </si>
  <si>
    <t>Nirvaan Tara</t>
  </si>
  <si>
    <t>CUST0551</t>
  </si>
  <si>
    <t>Shray Agrawal</t>
  </si>
  <si>
    <t>CUST0552</t>
  </si>
  <si>
    <t>Nishith Sampath</t>
  </si>
  <si>
    <t>CUST0553</t>
  </si>
  <si>
    <t>Yuvaan Butala</t>
  </si>
  <si>
    <t>CUST0554</t>
  </si>
  <si>
    <t>Hazel Tara</t>
  </si>
  <si>
    <t>CUST0555</t>
  </si>
  <si>
    <t>Taran Dhingra</t>
  </si>
  <si>
    <t>CUST0556</t>
  </si>
  <si>
    <t>Dhanuk Shah</t>
  </si>
  <si>
    <t>CUST0557</t>
  </si>
  <si>
    <t>Dhanuk Date</t>
  </si>
  <si>
    <t>CUST0558</t>
  </si>
  <si>
    <t>Neysa Swamy</t>
  </si>
  <si>
    <t>CUST0559</t>
  </si>
  <si>
    <t>Badal Loyal</t>
  </si>
  <si>
    <t>CUST0560</t>
  </si>
  <si>
    <t>Madhav Bath</t>
  </si>
  <si>
    <t>CUST0561</t>
  </si>
  <si>
    <t>Vardaniya Rao</t>
  </si>
  <si>
    <t>CUST0562</t>
  </si>
  <si>
    <t>Ojas Khalsa</t>
  </si>
  <si>
    <t>CUST0563</t>
  </si>
  <si>
    <t>Shayak Goda</t>
  </si>
  <si>
    <t>CUST0564</t>
  </si>
  <si>
    <t>Piya Krishnamurthy</t>
  </si>
  <si>
    <t>CUST0565</t>
  </si>
  <si>
    <t>Shanaya Bakshi</t>
  </si>
  <si>
    <t>CUST0566</t>
  </si>
  <si>
    <t>Shray Golla</t>
  </si>
  <si>
    <t>CUST0567</t>
  </si>
  <si>
    <t>Yuvraj  Sathe</t>
  </si>
  <si>
    <t>CUST0568</t>
  </si>
  <si>
    <t>Hiran Loyal</t>
  </si>
  <si>
    <t>CUST0569</t>
  </si>
  <si>
    <t>Divyansh Barad</t>
  </si>
  <si>
    <t>CUST0570</t>
  </si>
  <si>
    <t>Kiaan Sandhu</t>
  </si>
  <si>
    <t>CUST0571</t>
  </si>
  <si>
    <t>Saanvi Rajagopal</t>
  </si>
  <si>
    <t>CUST0572</t>
  </si>
  <si>
    <t>Nitya Bora</t>
  </si>
  <si>
    <t>CUST0573</t>
  </si>
  <si>
    <t>Mohanlal Bir</t>
  </si>
  <si>
    <t>CUST0574</t>
  </si>
  <si>
    <t>Ela Bhavsar</t>
  </si>
  <si>
    <t>CUST0575</t>
  </si>
  <si>
    <t>Advika Babu</t>
  </si>
  <si>
    <t>CUST0576</t>
  </si>
  <si>
    <t>Saksham Mammen</t>
  </si>
  <si>
    <t>CUST0577</t>
  </si>
  <si>
    <t>Jayan Bhatnagar</t>
  </si>
  <si>
    <t>CUST0578</t>
  </si>
  <si>
    <t>Mehul Jayaraman</t>
  </si>
  <si>
    <t>CUST0579</t>
  </si>
  <si>
    <t>Badal Som</t>
  </si>
  <si>
    <t>CUST0580</t>
  </si>
  <si>
    <t>Samiha Wagle</t>
  </si>
  <si>
    <t>CUST0581</t>
  </si>
  <si>
    <t>Devansh Vora</t>
  </si>
  <si>
    <t>CUST0582</t>
  </si>
  <si>
    <t>Sara Wason</t>
  </si>
  <si>
    <t>CUST0583</t>
  </si>
  <si>
    <t>Renee Gaba</t>
  </si>
  <si>
    <t>CUST0584</t>
  </si>
  <si>
    <t>Shaan Mallick</t>
  </si>
  <si>
    <t>CUST0585</t>
  </si>
  <si>
    <t>Adira Balan</t>
  </si>
  <si>
    <t>CUST0586</t>
  </si>
  <si>
    <t>Piya Koshy</t>
  </si>
  <si>
    <t>CUST0587</t>
  </si>
  <si>
    <t>Purab Kunda</t>
  </si>
  <si>
    <t>CUST0588</t>
  </si>
  <si>
    <t>Mamooty Deo</t>
  </si>
  <si>
    <t>CUST0589</t>
  </si>
  <si>
    <t>Shaan Balay</t>
  </si>
  <si>
    <t>CUST0590</t>
  </si>
  <si>
    <t>Tara Behl</t>
  </si>
  <si>
    <t>CUST0591</t>
  </si>
  <si>
    <t>Yasmin Ravi</t>
  </si>
  <si>
    <t>CUST0592</t>
  </si>
  <si>
    <t>Hridaan Master</t>
  </si>
  <si>
    <t>CUST0593</t>
  </si>
  <si>
    <t>Ela Joshi</t>
  </si>
  <si>
    <t>CUST0594</t>
  </si>
  <si>
    <t>Zeeshan Anand</t>
  </si>
  <si>
    <t>CUST0595</t>
  </si>
  <si>
    <t>Ranbir Tailor</t>
  </si>
  <si>
    <t>CUST0596</t>
  </si>
  <si>
    <t>Tejas Zacharia</t>
  </si>
  <si>
    <t>CUST0597</t>
  </si>
  <si>
    <t>Lavanya Singh</t>
  </si>
  <si>
    <t>CUST0598</t>
  </si>
  <si>
    <t>CUST0599</t>
  </si>
  <si>
    <t>Kiara Cherian</t>
  </si>
  <si>
    <t>CUST0600</t>
  </si>
  <si>
    <t>Akarsh Chaudhary</t>
  </si>
  <si>
    <t>CUST0601</t>
  </si>
  <si>
    <t>Lakshay Sood</t>
  </si>
  <si>
    <t>CUST0602</t>
  </si>
  <si>
    <t>Badal Tella</t>
  </si>
  <si>
    <t>CUST0603</t>
  </si>
  <si>
    <t>Mamooty Gaba</t>
  </si>
  <si>
    <t>CUST0604</t>
  </si>
  <si>
    <t>Eshani Khatri</t>
  </si>
  <si>
    <t>CUST0605</t>
  </si>
  <si>
    <t>Krish Deshpande</t>
  </si>
  <si>
    <t>CUST0606</t>
  </si>
  <si>
    <t>Mahika Dass</t>
  </si>
  <si>
    <t>CUST0607</t>
  </si>
  <si>
    <t>Lakshit Chand</t>
  </si>
  <si>
    <t>CUST0608</t>
  </si>
  <si>
    <t>Azad Baral</t>
  </si>
  <si>
    <t>CUST0609</t>
  </si>
  <si>
    <t>Onkar Sarkar</t>
  </si>
  <si>
    <t>CUST0610</t>
  </si>
  <si>
    <t>Biju Anand</t>
  </si>
  <si>
    <t>CUST0611</t>
  </si>
  <si>
    <t>Damini Boase</t>
  </si>
  <si>
    <t>CUST0612</t>
  </si>
  <si>
    <t>Drishya Hayre</t>
  </si>
  <si>
    <t>CUST0613</t>
  </si>
  <si>
    <t>Kiara Babu</t>
  </si>
  <si>
    <t>CUST0614</t>
  </si>
  <si>
    <t>Chirag Chopra</t>
  </si>
  <si>
    <t>CUST0615</t>
  </si>
  <si>
    <t>Arnav Bir</t>
  </si>
  <si>
    <t>CUST0616</t>
  </si>
  <si>
    <t>Anvi Bhattacharyya</t>
  </si>
  <si>
    <t>CUST0617</t>
  </si>
  <si>
    <t>Vritika Atwal</t>
  </si>
  <si>
    <t>CUST0618</t>
  </si>
  <si>
    <t>Neelofar Gopal</t>
  </si>
  <si>
    <t>CUST0619</t>
  </si>
  <si>
    <t>Kanav Bedi</t>
  </si>
  <si>
    <t>CUST0620</t>
  </si>
  <si>
    <t>Uthkarsh Rege</t>
  </si>
  <si>
    <t>CUST0621</t>
  </si>
  <si>
    <t>Jiya Hayer</t>
  </si>
  <si>
    <t>CUST0622</t>
  </si>
  <si>
    <t>Ivana Tata</t>
  </si>
  <si>
    <t>CUST0623</t>
  </si>
  <si>
    <t>Dishani Aurora</t>
  </si>
  <si>
    <t>CUST0624</t>
  </si>
  <si>
    <t>Hansh Bhatia</t>
  </si>
  <si>
    <t>CUST0625</t>
  </si>
  <si>
    <t>Ishita Basak</t>
  </si>
  <si>
    <t>CUST0626</t>
  </si>
  <si>
    <t>Shaan Mangal</t>
  </si>
  <si>
    <t>CUST0627</t>
  </si>
  <si>
    <t>Nehmat Jaggi</t>
  </si>
  <si>
    <t>CUST0628</t>
  </si>
  <si>
    <t>Manikya Jhaveri</t>
  </si>
  <si>
    <t>CUST0629</t>
  </si>
  <si>
    <t>Mannat Sarna</t>
  </si>
  <si>
    <t>CUST0630</t>
  </si>
  <si>
    <t>Rhea Varkey</t>
  </si>
  <si>
    <t>CUST0631</t>
  </si>
  <si>
    <t>Drishya Khanna</t>
  </si>
  <si>
    <t>CUST0632</t>
  </si>
  <si>
    <t>Mehul Lal</t>
  </si>
  <si>
    <t>CUST0633</t>
  </si>
  <si>
    <t>Nirvi Barad</t>
  </si>
  <si>
    <t>CUST0634</t>
  </si>
  <si>
    <t>Kismat Rao</t>
  </si>
  <si>
    <t>CUST0635</t>
  </si>
  <si>
    <t>Mahika Reddy</t>
  </si>
  <si>
    <t>CUST0636</t>
  </si>
  <si>
    <t>Alia Kibe</t>
  </si>
  <si>
    <t>CUST0637</t>
  </si>
  <si>
    <t>Manjari Gera</t>
  </si>
  <si>
    <t>CUST0638</t>
  </si>
  <si>
    <t>Nirvaan Mannan</t>
  </si>
  <si>
    <t>CUST0639</t>
  </si>
  <si>
    <t>Hridaan Kapadia</t>
  </si>
  <si>
    <t>CUST0640</t>
  </si>
  <si>
    <t>Sara Ben</t>
  </si>
  <si>
    <t>CUST0641</t>
  </si>
  <si>
    <t>Rati Hayre</t>
  </si>
  <si>
    <t>CUST0642</t>
  </si>
  <si>
    <t>Yuvraj  Bakshi</t>
  </si>
  <si>
    <t>CUST0643</t>
  </si>
  <si>
    <t>Shamik De</t>
  </si>
  <si>
    <t>CUST0644</t>
  </si>
  <si>
    <t>Anika Ravel</t>
  </si>
  <si>
    <t>CUST0645</t>
  </si>
  <si>
    <t>Emir Banerjee</t>
  </si>
  <si>
    <t>CUST0646</t>
  </si>
  <si>
    <t>Gokul Kulkarni</t>
  </si>
  <si>
    <t>CUST0647</t>
  </si>
  <si>
    <t>Oorja Rout</t>
  </si>
  <si>
    <t>CUST0648</t>
  </si>
  <si>
    <t>Miraan Raju</t>
  </si>
  <si>
    <t>CUST0649</t>
  </si>
  <si>
    <t>Kimaya Sha</t>
  </si>
  <si>
    <t>CUST0650</t>
  </si>
  <si>
    <t>Ojas Anne</t>
  </si>
  <si>
    <t>CUST0651</t>
  </si>
  <si>
    <t>Ojas Ben</t>
  </si>
  <si>
    <t>CUST0652</t>
  </si>
  <si>
    <t>Hridaan Bhagat</t>
  </si>
  <si>
    <t>CUST0653</t>
  </si>
  <si>
    <t>Jayesh Ramaswamy</t>
  </si>
  <si>
    <t>CUST0654</t>
  </si>
  <si>
    <t>Aaryahi Dewan</t>
  </si>
  <si>
    <t>CUST0655</t>
  </si>
  <si>
    <t>Jivin Dhar</t>
  </si>
  <si>
    <t>CUST0656</t>
  </si>
  <si>
    <t>Adira Khatri</t>
  </si>
  <si>
    <t>CUST0657</t>
  </si>
  <si>
    <t>Ishita Ranganathan</t>
  </si>
  <si>
    <t>CUST0658</t>
  </si>
  <si>
    <t>Manikya Kumar</t>
  </si>
  <si>
    <t>CUST0659</t>
  </si>
  <si>
    <t>Jayan Kothari</t>
  </si>
  <si>
    <t>CUST0660</t>
  </si>
  <si>
    <t>Rohan Amble</t>
  </si>
  <si>
    <t>CUST0661</t>
  </si>
  <si>
    <t>Abram Buch</t>
  </si>
  <si>
    <t>CUST0662</t>
  </si>
  <si>
    <t>Tarini Banik</t>
  </si>
  <si>
    <t>CUST0663</t>
  </si>
  <si>
    <t>Lakshay Kalla</t>
  </si>
  <si>
    <t>CUST0664</t>
  </si>
  <si>
    <t>Myra Bava</t>
  </si>
  <si>
    <t>CUST0665</t>
  </si>
  <si>
    <t>Tushar Shah</t>
  </si>
  <si>
    <t>CUST0666</t>
  </si>
  <si>
    <t>Divyansh Raju</t>
  </si>
  <si>
    <t>CUST0667</t>
  </si>
  <si>
    <t>Oorja Chowdhury</t>
  </si>
  <si>
    <t>CUST0668</t>
  </si>
  <si>
    <t>Nitara Srinivasan</t>
  </si>
  <si>
    <t>CUST0669</t>
  </si>
  <si>
    <t>Alisha Chacko</t>
  </si>
  <si>
    <t>CUST0670</t>
  </si>
  <si>
    <t>Jayant Bail</t>
  </si>
  <si>
    <t>CUST0671</t>
  </si>
  <si>
    <t>Zaina Chanda</t>
  </si>
  <si>
    <t>CUST0672</t>
  </si>
  <si>
    <t>Gatik Lad</t>
  </si>
  <si>
    <t>CUST0673</t>
  </si>
  <si>
    <t>Alisha Wagle</t>
  </si>
  <si>
    <t>CUST0674</t>
  </si>
  <si>
    <t>Aarush Subramaniam</t>
  </si>
  <si>
    <t>CUST0675</t>
  </si>
  <si>
    <t>Hiran Bhasin</t>
  </si>
  <si>
    <t>CUST0676</t>
  </si>
  <si>
    <t>Samar Baral</t>
  </si>
  <si>
    <t>CUST0677</t>
  </si>
  <si>
    <t>Kanav Grover</t>
  </si>
  <si>
    <t>CUST0678</t>
  </si>
  <si>
    <t>Ela Kamdar</t>
  </si>
  <si>
    <t>CUST0679</t>
  </si>
  <si>
    <t>Indrajit Chacko</t>
  </si>
  <si>
    <t>CUST0680</t>
  </si>
  <si>
    <t>Taimur Sunder</t>
  </si>
  <si>
    <t>CUST0681</t>
  </si>
  <si>
    <t>Darshit Chopra</t>
  </si>
  <si>
    <t>CUST0682</t>
  </si>
  <si>
    <t>Madhup Sur</t>
  </si>
  <si>
    <t>CUST0683</t>
  </si>
  <si>
    <t>Jiya Wali</t>
  </si>
  <si>
    <t>CUST0684</t>
  </si>
  <si>
    <t>Chirag Joshi</t>
  </si>
  <si>
    <t>CUST0685</t>
  </si>
  <si>
    <t>Anika Butala</t>
  </si>
  <si>
    <t>CUST0686</t>
  </si>
  <si>
    <t>Vritika Gandhi</t>
  </si>
  <si>
    <t>CUST0687</t>
  </si>
  <si>
    <t>Neelofar Mandal</t>
  </si>
  <si>
    <t>CUST0688</t>
  </si>
  <si>
    <t>Taran Thaker</t>
  </si>
  <si>
    <t>CUST0689</t>
  </si>
  <si>
    <t>Ira Sarin</t>
  </si>
  <si>
    <t>CUST0690</t>
  </si>
  <si>
    <t>Samar Wali</t>
  </si>
  <si>
    <t>CUST0691</t>
  </si>
  <si>
    <t>Shlok Sangha</t>
  </si>
  <si>
    <t>CUST0692</t>
  </si>
  <si>
    <t>Raunak Loyal</t>
  </si>
  <si>
    <t>CUST0693</t>
  </si>
  <si>
    <t>Emir Sharaf</t>
  </si>
  <si>
    <t>CUST0694</t>
  </si>
  <si>
    <t>Aaina Rana</t>
  </si>
  <si>
    <t>CUST0695</t>
  </si>
  <si>
    <t>Fateh Kamdar</t>
  </si>
  <si>
    <t>CUST0696</t>
  </si>
  <si>
    <t>Rhea Bumb</t>
  </si>
  <si>
    <t>CUST0697</t>
  </si>
  <si>
    <t>Anahita Chokshi</t>
  </si>
  <si>
    <t>CUST0698</t>
  </si>
  <si>
    <t>Vardaniya Ramakrishnan</t>
  </si>
  <si>
    <t>CUST0699</t>
  </si>
  <si>
    <t>Prisha Warrior</t>
  </si>
  <si>
    <t>CUST0700</t>
  </si>
  <si>
    <t>Aradhya Sarma</t>
  </si>
  <si>
    <t>CUST0701</t>
  </si>
  <si>
    <t>Saira Magar</t>
  </si>
  <si>
    <t>CUST0702</t>
  </si>
  <si>
    <t>Ishaan Manne</t>
  </si>
  <si>
    <t>CUST0703</t>
  </si>
  <si>
    <t>Vritika Gala</t>
  </si>
  <si>
    <t>CUST0704</t>
  </si>
  <si>
    <t>Shayak Madan</t>
  </si>
  <si>
    <t>CUST0705</t>
  </si>
  <si>
    <t>Shanaya Koshy</t>
  </si>
  <si>
    <t>CUST0706</t>
  </si>
  <si>
    <t>Yuvraj  Thakkar</t>
  </si>
  <si>
    <t>CUST0707</t>
  </si>
  <si>
    <t>Vedika Chana</t>
  </si>
  <si>
    <t>CUST0708</t>
  </si>
  <si>
    <t>Adah Samra</t>
  </si>
  <si>
    <t>CUST0709</t>
  </si>
  <si>
    <t>Krish Issac</t>
  </si>
  <si>
    <t>CUST0710</t>
  </si>
  <si>
    <t>Amira Roy</t>
  </si>
  <si>
    <t>CUST0711</t>
  </si>
  <si>
    <t>Veer Bawa</t>
  </si>
  <si>
    <t>CUST0712</t>
  </si>
  <si>
    <t>Rati Madan</t>
  </si>
  <si>
    <t>CUST0713</t>
  </si>
  <si>
    <t>Vanya Mandal</t>
  </si>
  <si>
    <t>CUST0714</t>
  </si>
  <si>
    <t>Purab Gill</t>
  </si>
  <si>
    <t>CUST0715</t>
  </si>
  <si>
    <t>Taran Chaudry</t>
  </si>
  <si>
    <t>CUST0716</t>
  </si>
  <si>
    <t>Vidur Goswami</t>
  </si>
  <si>
    <t>CUST0717</t>
  </si>
  <si>
    <t>Samar Kothari</t>
  </si>
  <si>
    <t>CUST0718</t>
  </si>
  <si>
    <t>Anahi Gulati</t>
  </si>
  <si>
    <t>CUST0719</t>
  </si>
  <si>
    <t>Nakul Bakshi</t>
  </si>
  <si>
    <t>CUST0720</t>
  </si>
  <si>
    <t>Dharmajan Tak</t>
  </si>
  <si>
    <t>CUST0721</t>
  </si>
  <si>
    <t>Manikya Roy</t>
  </si>
  <si>
    <t>CUST0722</t>
  </si>
  <si>
    <t>Raghav Warrior</t>
  </si>
  <si>
    <t>CUST0723</t>
  </si>
  <si>
    <t>Shayak Kara</t>
  </si>
  <si>
    <t>CUST0724</t>
  </si>
  <si>
    <t>Renee Dass</t>
  </si>
  <si>
    <t>CUST0725</t>
  </si>
  <si>
    <t>Aarav Bora</t>
  </si>
  <si>
    <t>CUST0726</t>
  </si>
  <si>
    <t>Ira Lall</t>
  </si>
  <si>
    <t>CUST0727</t>
  </si>
  <si>
    <t>Kartik Dayal</t>
  </si>
  <si>
    <t>CUST0728</t>
  </si>
  <si>
    <t>Indranil Loyal</t>
  </si>
  <si>
    <t>CUST0729</t>
  </si>
  <si>
    <t>Anya Warrior</t>
  </si>
  <si>
    <t>CUST0730</t>
  </si>
  <si>
    <t>Charvi Dash</t>
  </si>
  <si>
    <t>CUST0731</t>
  </si>
  <si>
    <t>Saksham Bora</t>
  </si>
  <si>
    <t>CUST0732</t>
  </si>
  <si>
    <t>Prerak Tara</t>
  </si>
  <si>
    <t>CUST0733</t>
  </si>
  <si>
    <t>Charvi Dhawan</t>
  </si>
  <si>
    <t>CUST0734</t>
  </si>
  <si>
    <t>Riya Dani</t>
  </si>
  <si>
    <t>CUST0735</t>
  </si>
  <si>
    <t>Baiju Bhandari</t>
  </si>
  <si>
    <t>CUST0736</t>
  </si>
  <si>
    <t>Nirvi Sethi</t>
  </si>
  <si>
    <t>CUST0737</t>
  </si>
  <si>
    <t>Zaina Bandi</t>
  </si>
  <si>
    <t>CUST0738</t>
  </si>
  <si>
    <t>Miraya Chacko</t>
  </si>
  <si>
    <t>CUST0739</t>
  </si>
  <si>
    <t>Arhaan Sood</t>
  </si>
  <si>
    <t>CUST0740</t>
  </si>
  <si>
    <t>Ahana  Choudhury</t>
  </si>
  <si>
    <t>CUST0741</t>
  </si>
  <si>
    <t>Devansh Gola</t>
  </si>
  <si>
    <t>CUST0742</t>
  </si>
  <si>
    <t>Saanvi Chanda</t>
  </si>
  <si>
    <t>CUST0743</t>
  </si>
  <si>
    <t>Yasmin Lata</t>
  </si>
  <si>
    <t>CUST0744</t>
  </si>
  <si>
    <t>Mahika Datta</t>
  </si>
  <si>
    <t>CUST0745</t>
  </si>
  <si>
    <t>Armaan Tella</t>
  </si>
  <si>
    <t>CUST0746</t>
  </si>
  <si>
    <t>Khushi Batta</t>
  </si>
  <si>
    <t>CUST0747</t>
  </si>
  <si>
    <t>Jayan Garde</t>
  </si>
  <si>
    <t>CUST0748</t>
  </si>
  <si>
    <t>Saira Soni</t>
  </si>
  <si>
    <t>CUST0749</t>
  </si>
  <si>
    <t>Amira Gokhale</t>
  </si>
  <si>
    <t>CUST0750</t>
  </si>
  <si>
    <t>Amani Lad</t>
  </si>
  <si>
    <t>CUST0751</t>
  </si>
  <si>
    <t>Taran Dalal</t>
  </si>
  <si>
    <t>CUST0752</t>
  </si>
  <si>
    <t>Ranbir Chacko</t>
  </si>
  <si>
    <t>CUST0753</t>
  </si>
  <si>
    <t>Ryan Singhal</t>
  </si>
  <si>
    <t>CUST0754</t>
  </si>
  <si>
    <t>Amira Shanker</t>
  </si>
  <si>
    <t>CUST0755</t>
  </si>
  <si>
    <t>Advik Kala</t>
  </si>
  <si>
    <t>CUST0756</t>
  </si>
  <si>
    <t>Amira Sachdev</t>
  </si>
  <si>
    <t>CUST0757</t>
  </si>
  <si>
    <t>Darshit Sheth</t>
  </si>
  <si>
    <t>CUST0758</t>
  </si>
  <si>
    <t>Oorja Samra</t>
  </si>
  <si>
    <t>CUST0759</t>
  </si>
  <si>
    <t>Elakshi Ramesh</t>
  </si>
  <si>
    <t>CUST0760</t>
  </si>
  <si>
    <t>Rania Dey</t>
  </si>
  <si>
    <t>CUST0761</t>
  </si>
  <si>
    <t>Adira Sastry</t>
  </si>
  <si>
    <t>CUST0762</t>
  </si>
  <si>
    <t>Aaina Ramanathan</t>
  </si>
  <si>
    <t>CUST0763</t>
  </si>
  <si>
    <t>Stuvan Kothari</t>
  </si>
  <si>
    <t>CUST0764</t>
  </si>
  <si>
    <t>Saksham Loyal</t>
  </si>
  <si>
    <t>CUST0765</t>
  </si>
  <si>
    <t>Yakshit Seshadri</t>
  </si>
  <si>
    <t>CUST0766</t>
  </si>
  <si>
    <t>Ojas Sama</t>
  </si>
  <si>
    <t>CUST0767</t>
  </si>
  <si>
    <t>Zoya Krish</t>
  </si>
  <si>
    <t>CUST0768</t>
  </si>
  <si>
    <t>Shayak Thakur</t>
  </si>
  <si>
    <t>CUST0769</t>
  </si>
  <si>
    <t>Gokul Bedi</t>
  </si>
  <si>
    <t>CUST0770</t>
  </si>
  <si>
    <t>Shayak Chaudry</t>
  </si>
  <si>
    <t>CUST0771</t>
  </si>
  <si>
    <t>Indrajit Seth</t>
  </si>
  <si>
    <t>CUST0772</t>
  </si>
  <si>
    <t>Faiyaz Mallick</t>
  </si>
  <si>
    <t>CUST0773</t>
  </si>
  <si>
    <t>Ranbir Kalita</t>
  </si>
  <si>
    <t>CUST0774</t>
  </si>
  <si>
    <t>Zoya Kakar</t>
  </si>
  <si>
    <t>CUST0775</t>
  </si>
  <si>
    <t>Ivana Dutt</t>
  </si>
  <si>
    <t>CUST0776</t>
  </si>
  <si>
    <t>Aradhya Tara</t>
  </si>
  <si>
    <t>CUST0777</t>
  </si>
  <si>
    <t>Shanaya Rama</t>
  </si>
  <si>
    <t>CUST0778</t>
  </si>
  <si>
    <t>Saira Tata</t>
  </si>
  <si>
    <t>CUST0779</t>
  </si>
  <si>
    <t>Nitara Banerjee</t>
  </si>
  <si>
    <t>CUST0780</t>
  </si>
  <si>
    <t>Mohanlal Gole</t>
  </si>
  <si>
    <t>CUST0781</t>
  </si>
  <si>
    <t>Rania Shanker</t>
  </si>
  <si>
    <t>CUST0782</t>
  </si>
  <si>
    <t>Pihu Wali</t>
  </si>
  <si>
    <t>CUST0783</t>
  </si>
  <si>
    <t>Onkar Choudhry</t>
  </si>
  <si>
    <t>CUST0784</t>
  </si>
  <si>
    <t>Advika Bala</t>
  </si>
  <si>
    <t>CUST0785</t>
  </si>
  <si>
    <t>Shayak Bail</t>
  </si>
  <si>
    <t>CUST0786</t>
  </si>
  <si>
    <t>Dhruv Sahota</t>
  </si>
  <si>
    <t>CUST0787</t>
  </si>
  <si>
    <t>Dhanush Gaba</t>
  </si>
  <si>
    <t>CUST0788</t>
  </si>
  <si>
    <t>Arhaan Das</t>
  </si>
  <si>
    <t>CUST0789</t>
  </si>
  <si>
    <t>Stuvan Sehgal</t>
  </si>
  <si>
    <t>CUST0790</t>
  </si>
  <si>
    <t>Tejas Handa</t>
  </si>
  <si>
    <t>CUST0791</t>
  </si>
  <si>
    <t>Biju Balan</t>
  </si>
  <si>
    <t>CUST0792</t>
  </si>
  <si>
    <t>Anay Dash</t>
  </si>
  <si>
    <t>CUST0793</t>
  </si>
  <si>
    <t>Nishith Kamdar</t>
  </si>
  <si>
    <t>CUST0794</t>
  </si>
  <si>
    <t>Shalv Sankaran</t>
  </si>
  <si>
    <t>CUST0795</t>
  </si>
  <si>
    <t>Onkar Hari</t>
  </si>
  <si>
    <t>CUST0796</t>
  </si>
  <si>
    <t>Yashvi Buch</t>
  </si>
  <si>
    <t>CUST0797</t>
  </si>
  <si>
    <t>Rasha Sharaf</t>
  </si>
  <si>
    <t>CUST0798</t>
  </si>
  <si>
    <t>Arhaan Ram</t>
  </si>
  <si>
    <t>CUST0799</t>
  </si>
  <si>
    <t>Kartik Thaman</t>
  </si>
  <si>
    <t>CUST0800</t>
  </si>
  <si>
    <t>Neelofar Master</t>
  </si>
  <si>
    <t>CUST0801</t>
  </si>
  <si>
    <t>Kabir Borde</t>
  </si>
  <si>
    <t>CUST0802</t>
  </si>
  <si>
    <t>Indrajit Mander</t>
  </si>
  <si>
    <t>CUST0803</t>
  </si>
  <si>
    <t>Darshit Sridhar</t>
  </si>
  <si>
    <t>CUST0804</t>
  </si>
  <si>
    <t>Ahana  Gill</t>
  </si>
  <si>
    <t>CUST0805</t>
  </si>
  <si>
    <t>Prerak Dugar</t>
  </si>
  <si>
    <t>CUST0806</t>
  </si>
  <si>
    <t>Samarth Bandi</t>
  </si>
  <si>
    <t>CUST0807</t>
  </si>
  <si>
    <t>Nirvaan Khalsa</t>
  </si>
  <si>
    <t>CUST0808</t>
  </si>
  <si>
    <t>Vaibhav Sunder</t>
  </si>
  <si>
    <t>CUST0809</t>
  </si>
  <si>
    <t>Siya Bhatt</t>
  </si>
  <si>
    <t>CUST0810</t>
  </si>
  <si>
    <t>Ayesha Mangal</t>
  </si>
  <si>
    <t>CUST0811</t>
  </si>
  <si>
    <t>Kiara Viswanathan</t>
  </si>
  <si>
    <t>CUST0812</t>
  </si>
  <si>
    <t>Chirag Mammen</t>
  </si>
  <si>
    <t>CUST0813</t>
  </si>
  <si>
    <t>Riaan Varma</t>
  </si>
  <si>
    <t>CUST0814</t>
  </si>
  <si>
    <t>Amira Biswas</t>
  </si>
  <si>
    <t>CUST0815</t>
  </si>
  <si>
    <t>Rhea Chawla</t>
  </si>
  <si>
    <t>CUST0816</t>
  </si>
  <si>
    <t>Kaira Saini</t>
  </si>
  <si>
    <t>CUST0817</t>
  </si>
  <si>
    <t>Tejas Buch</t>
  </si>
  <si>
    <t>CUST0818</t>
  </si>
  <si>
    <t>Dishani Sood</t>
  </si>
  <si>
    <t>CUST0819</t>
  </si>
  <si>
    <t>Shray Bhatia</t>
  </si>
  <si>
    <t>CUST0820</t>
  </si>
  <si>
    <t>Devansh Walia</t>
  </si>
  <si>
    <t>CUST0821</t>
  </si>
  <si>
    <t>Adah Sridhar</t>
  </si>
  <si>
    <t>CUST0822</t>
  </si>
  <si>
    <t>Dharmajan Chhabra</t>
  </si>
  <si>
    <t>CUST0823</t>
  </si>
  <si>
    <t>Aayush Bandi</t>
  </si>
  <si>
    <t>CUST0824</t>
  </si>
  <si>
    <t>Mannat Char</t>
  </si>
  <si>
    <t>CUST0825</t>
  </si>
  <si>
    <t>Anvi Dara</t>
  </si>
  <si>
    <t>CUST0826</t>
  </si>
  <si>
    <t>Kabir Bath</t>
  </si>
  <si>
    <t>CUST0827</t>
  </si>
  <si>
    <t>Saksham Sahota</t>
  </si>
  <si>
    <t>CUST0828</t>
  </si>
  <si>
    <t>Piya Garg</t>
  </si>
  <si>
    <t>CUST0829</t>
  </si>
  <si>
    <t>Anika Venkataraman</t>
  </si>
  <si>
    <t>CUST0830</t>
  </si>
  <si>
    <t>Samaira Borah</t>
  </si>
  <si>
    <t>CUST0831</t>
  </si>
  <si>
    <t>Taran Sane</t>
  </si>
  <si>
    <t>CUST0832</t>
  </si>
  <si>
    <t>Rania Khurana</t>
  </si>
  <si>
    <t>CUST0833</t>
  </si>
  <si>
    <t>Veer Dhaliwal</t>
  </si>
  <si>
    <t>CUST0834</t>
  </si>
  <si>
    <t>Ojas Dhar</t>
  </si>
  <si>
    <t>CUST0835</t>
  </si>
  <si>
    <t>Anika Tara</t>
  </si>
  <si>
    <t>CUST0836</t>
  </si>
  <si>
    <t>Taimur Devan</t>
  </si>
  <si>
    <t>CUST0837</t>
  </si>
  <si>
    <t>Shamik Konda</t>
  </si>
  <si>
    <t>CUST0838</t>
  </si>
  <si>
    <t>Nitya Barad</t>
  </si>
  <si>
    <t>CUST0839</t>
  </si>
  <si>
    <t>Miraan Borde</t>
  </si>
  <si>
    <t>CUST0840</t>
  </si>
  <si>
    <t>Tiya Sant</t>
  </si>
  <si>
    <t>CUST0841</t>
  </si>
  <si>
    <t>Shaan Sankaran</t>
  </si>
  <si>
    <t>CUST0842</t>
  </si>
  <si>
    <t>Mannat Seshadri</t>
  </si>
  <si>
    <t>CUST0843</t>
  </si>
  <si>
    <t>Ivan Tank</t>
  </si>
  <si>
    <t>CUST0844</t>
  </si>
  <si>
    <t>Shamik Wali</t>
  </si>
  <si>
    <t>CUST0845</t>
  </si>
  <si>
    <t>Shaan Lalla</t>
  </si>
  <si>
    <t>CUST0846</t>
  </si>
  <si>
    <t>Aaryahi Aggarwal</t>
  </si>
  <si>
    <t>CUST0847</t>
  </si>
  <si>
    <t>Aarna Basak</t>
  </si>
  <si>
    <t>CUST0848</t>
  </si>
  <si>
    <t>Renee Devi</t>
  </si>
  <si>
    <t>CUST0849</t>
  </si>
  <si>
    <t>Tiya Sane</t>
  </si>
  <si>
    <t>CUST0850</t>
  </si>
  <si>
    <t>Amani Agrawal</t>
  </si>
  <si>
    <t>CUST0851</t>
  </si>
  <si>
    <t>Purab Doctor</t>
  </si>
  <si>
    <t>CUST0852</t>
  </si>
  <si>
    <t>Ayesha Bassi</t>
  </si>
  <si>
    <t>CUST0853</t>
  </si>
  <si>
    <t>Parinaaz Bhatt</t>
  </si>
  <si>
    <t>CUST0854</t>
  </si>
  <si>
    <t>Piya Bansal</t>
  </si>
  <si>
    <t>CUST0855</t>
  </si>
  <si>
    <t>Shlok Dasgupta</t>
  </si>
  <si>
    <t>CUST0856</t>
  </si>
  <si>
    <t>Mannat Bandi</t>
  </si>
  <si>
    <t>CUST0857</t>
  </si>
  <si>
    <t>Arhaan Chander</t>
  </si>
  <si>
    <t>CUST0858</t>
  </si>
  <si>
    <t>Nehmat Baral</t>
  </si>
  <si>
    <t>CUST0859</t>
  </si>
  <si>
    <t>Armaan Wagle</t>
  </si>
  <si>
    <t>CUST0860</t>
  </si>
  <si>
    <t>Jivin Ram</t>
  </si>
  <si>
    <t>CUST0861</t>
  </si>
  <si>
    <t>Aarush Salvi</t>
  </si>
  <si>
    <t>CUST0862</t>
  </si>
  <si>
    <t>Jivika Bera</t>
  </si>
  <si>
    <t>CUST0863</t>
  </si>
  <si>
    <t>Lakshay Batta</t>
  </si>
  <si>
    <t>CUST0864</t>
  </si>
  <si>
    <t>Ayesha Sama</t>
  </si>
  <si>
    <t>CUST0865</t>
  </si>
  <si>
    <t>Adah Kaur</t>
  </si>
  <si>
    <t>CUST0866</t>
  </si>
  <si>
    <t>Arhaan Krish</t>
  </si>
  <si>
    <t>CUST0867</t>
  </si>
  <si>
    <t>Kanav Basu</t>
  </si>
  <si>
    <t>CUST0868</t>
  </si>
  <si>
    <t>Zoya Chacko</t>
  </si>
  <si>
    <t>CUST0869</t>
  </si>
  <si>
    <t>Rania Ben</t>
  </si>
  <si>
    <t>CUST0870</t>
  </si>
  <si>
    <t>Ranbir Brahmbhatt</t>
  </si>
  <si>
    <t>CUST0871</t>
  </si>
  <si>
    <t>Dishani Dugal</t>
  </si>
  <si>
    <t>CUST0872</t>
  </si>
  <si>
    <t>Dishani Kamdar</t>
  </si>
  <si>
    <t>CUST0873</t>
  </si>
  <si>
    <t>Yakshit Ahluwalia</t>
  </si>
  <si>
    <t>CUST0874</t>
  </si>
  <si>
    <t>Abram Deep</t>
  </si>
  <si>
    <t>CUST0875</t>
  </si>
  <si>
    <t>Miraya Kaur</t>
  </si>
  <si>
    <t>CUST0876</t>
  </si>
  <si>
    <t>Raunak Anand</t>
  </si>
  <si>
    <t>CUST0877</t>
  </si>
  <si>
    <t>Sahil Hans</t>
  </si>
  <si>
    <t>CUST0878</t>
  </si>
  <si>
    <t>Rasha Gola</t>
  </si>
  <si>
    <t>CUST0879</t>
  </si>
  <si>
    <t>Vidur Kapur</t>
  </si>
  <si>
    <t>CUST0880</t>
  </si>
  <si>
    <t>Ivan Sabharwal</t>
  </si>
  <si>
    <t>CUST0881</t>
  </si>
  <si>
    <t>Gokul Yogi</t>
  </si>
  <si>
    <t>CUST0882</t>
  </si>
  <si>
    <t>Vivaan Sarraf</t>
  </si>
  <si>
    <t>CUST0883</t>
  </si>
  <si>
    <t>Jhanvi Borra</t>
  </si>
  <si>
    <t>CUST0884</t>
  </si>
  <si>
    <t>Himmat Chacko</t>
  </si>
  <si>
    <t>CUST0885</t>
  </si>
  <si>
    <t>Purab Rout</t>
  </si>
  <si>
    <t>CUST0886</t>
  </si>
  <si>
    <t>Dharmajan Krishna</t>
  </si>
  <si>
    <t>CUST0887</t>
  </si>
  <si>
    <t>Aniruddh Talwar</t>
  </si>
  <si>
    <t>CUST0888</t>
  </si>
  <si>
    <t>Hiran Chacko</t>
  </si>
  <si>
    <t>CUST0889</t>
  </si>
  <si>
    <t>Pari Lal</t>
  </si>
  <si>
    <t>CUST0890</t>
  </si>
  <si>
    <t>Kanav Kumar</t>
  </si>
  <si>
    <t>CUST0891</t>
  </si>
  <si>
    <t>Ivan Solanki</t>
  </si>
  <si>
    <t>CUST0892</t>
  </si>
  <si>
    <t>Neysa Balay</t>
  </si>
  <si>
    <t>CUST0893</t>
  </si>
  <si>
    <t>Aarav Devi</t>
  </si>
  <si>
    <t>CUST0894</t>
  </si>
  <si>
    <t>Nirvaan Korpal</t>
  </si>
  <si>
    <t>CUST0895</t>
  </si>
  <si>
    <t>Arnav Agrawal</t>
  </si>
  <si>
    <t>CUST0896</t>
  </si>
  <si>
    <t>Pranay Kata</t>
  </si>
  <si>
    <t>CUST0897</t>
  </si>
  <si>
    <t>Amira Aggarwal</t>
  </si>
  <si>
    <t>CUST0898</t>
  </si>
  <si>
    <t>Nayantara Wadhwa</t>
  </si>
  <si>
    <t>CUST0899</t>
  </si>
  <si>
    <t>Yashvi Anne</t>
  </si>
  <si>
    <t>CUST0900</t>
  </si>
  <si>
    <t>Pari Sur</t>
  </si>
  <si>
    <t>CUST0901</t>
  </si>
  <si>
    <t>Anay Ghose</t>
  </si>
  <si>
    <t>CUST0902</t>
  </si>
  <si>
    <t>Drishya Soni</t>
  </si>
  <si>
    <t>CUST0903</t>
  </si>
  <si>
    <t>Akarsh Seth</t>
  </si>
  <si>
    <t>CUST0904</t>
  </si>
  <si>
    <t>Pihu Jayaraman</t>
  </si>
  <si>
    <t>CUST0905</t>
  </si>
  <si>
    <t>Ahana  Cherian</t>
  </si>
  <si>
    <t>CUST0906</t>
  </si>
  <si>
    <t>Chirag Rout</t>
  </si>
  <si>
    <t>CUST0907</t>
  </si>
  <si>
    <t>Adira Walla</t>
  </si>
  <si>
    <t>CUST0908</t>
  </si>
  <si>
    <t>Advika Sani</t>
  </si>
  <si>
    <t>CUST0909</t>
  </si>
  <si>
    <t>Priyansh Subramaniam</t>
  </si>
  <si>
    <t>CUST0910</t>
  </si>
  <si>
    <t>Taimur Varma</t>
  </si>
  <si>
    <t>CUST0911</t>
  </si>
  <si>
    <t>Saira Chokshi</t>
  </si>
  <si>
    <t>CUST0912</t>
  </si>
  <si>
    <t>Aarna Dalal</t>
  </si>
  <si>
    <t>CUST0913</t>
  </si>
  <si>
    <t>Trisha Sastry</t>
  </si>
  <si>
    <t>CUST0914</t>
  </si>
  <si>
    <t>Amira Kumer</t>
  </si>
  <si>
    <t>CUST0915</t>
  </si>
  <si>
    <t>Tiya Kakar</t>
  </si>
  <si>
    <t>CUST0916</t>
  </si>
  <si>
    <t>Anvi Sagar</t>
  </si>
  <si>
    <t>CUST0917</t>
  </si>
  <si>
    <t>Arhaan Jaggi</t>
  </si>
  <si>
    <t>CUST0918</t>
  </si>
  <si>
    <t>Kartik Ray</t>
  </si>
  <si>
    <t>CUST0919</t>
  </si>
  <si>
    <t>Kimaya Wadhwa</t>
  </si>
  <si>
    <t>CUST0920</t>
  </si>
  <si>
    <t>Chirag Dubey</t>
  </si>
  <si>
    <t>CUST0921</t>
  </si>
  <si>
    <t>Hridaan Garg</t>
  </si>
  <si>
    <t>CUST0922</t>
  </si>
  <si>
    <t>Vardaniya Bhat</t>
  </si>
  <si>
    <t>CUST0923</t>
  </si>
  <si>
    <t>Lavanya Sane</t>
  </si>
  <si>
    <t>CUST0924</t>
  </si>
  <si>
    <t>Trisha Kothari</t>
  </si>
  <si>
    <t>CUST0925</t>
  </si>
  <si>
    <t>Hunar Magar</t>
  </si>
  <si>
    <t>CUST0926</t>
  </si>
  <si>
    <t>Tarini Chopra</t>
  </si>
  <si>
    <t>CUST0927</t>
  </si>
  <si>
    <t>Nakul Reddy</t>
  </si>
  <si>
    <t>CUST0928</t>
  </si>
  <si>
    <t>Lavanya Barman</t>
  </si>
  <si>
    <t>CUST0929</t>
  </si>
  <si>
    <t>Trisha Goyal</t>
  </si>
  <si>
    <t>CUST0930</t>
  </si>
  <si>
    <t>Anvi Mallick</t>
  </si>
  <si>
    <t>CUST0931</t>
  </si>
  <si>
    <t>Pari Ravi</t>
  </si>
  <si>
    <t>CUST0932</t>
  </si>
  <si>
    <t>Eva Mall</t>
  </si>
  <si>
    <t>CUST0933</t>
  </si>
  <si>
    <t>Rania Manne</t>
  </si>
  <si>
    <t>CUST0934</t>
  </si>
  <si>
    <t>Kaira Rajagopal</t>
  </si>
  <si>
    <t>CUST0935</t>
  </si>
  <si>
    <t>Heer Balay</t>
  </si>
  <si>
    <t>CUST0936</t>
  </si>
  <si>
    <t>Aarav Kaul</t>
  </si>
  <si>
    <t>CUST0937</t>
  </si>
  <si>
    <t>Vaibhav Deo</t>
  </si>
  <si>
    <t>CUST0938</t>
  </si>
  <si>
    <t>Abram Dixit</t>
  </si>
  <si>
    <t>CUST0939</t>
  </si>
  <si>
    <t>Ojas Raman</t>
  </si>
  <si>
    <t>CUST0940</t>
  </si>
  <si>
    <t>Navya Kaur</t>
  </si>
  <si>
    <t>CUST0941</t>
  </si>
  <si>
    <t>Drishya Khosla</t>
  </si>
  <si>
    <t>CUST0942</t>
  </si>
  <si>
    <t>Yashvi Thakur</t>
  </si>
  <si>
    <t>CUST0943</t>
  </si>
  <si>
    <t>Mannat Dutt</t>
  </si>
  <si>
    <t>CUST0944</t>
  </si>
  <si>
    <t>Divit Rout</t>
  </si>
  <si>
    <t>CUST0945</t>
  </si>
  <si>
    <t>Eshani Rajagopal</t>
  </si>
  <si>
    <t>CUST0946</t>
  </si>
  <si>
    <t>Pihu Sahota</t>
  </si>
  <si>
    <t>CUST0947</t>
  </si>
  <si>
    <t>Miraan Joshi</t>
  </si>
  <si>
    <t>CUST0948</t>
  </si>
  <si>
    <t>Oorja Bassi</t>
  </si>
  <si>
    <t>CUST0949</t>
  </si>
  <si>
    <t>Nirvi Dutta</t>
  </si>
  <si>
    <t>CUST0950</t>
  </si>
  <si>
    <t>Jivika Chatterjee</t>
  </si>
  <si>
    <t>CUST0951</t>
  </si>
  <si>
    <t>Riaan Vasa</t>
  </si>
  <si>
    <t>CUST0952</t>
  </si>
  <si>
    <t>Zeeshan Bumb</t>
  </si>
  <si>
    <t>CUST0953</t>
  </si>
  <si>
    <t>Yasmin Biswas</t>
  </si>
  <si>
    <t>CUST0954</t>
  </si>
  <si>
    <t>Tara Lall</t>
  </si>
  <si>
    <t>CUST0955</t>
  </si>
  <si>
    <t>Vedika Aggarwal</t>
  </si>
  <si>
    <t>CUST0956</t>
  </si>
  <si>
    <t>Kiara Sachdev</t>
  </si>
  <si>
    <t>CUST0957</t>
  </si>
  <si>
    <t>Nitya Sibal</t>
  </si>
  <si>
    <t>CUST0958</t>
  </si>
  <si>
    <t>Diya Comar</t>
  </si>
  <si>
    <t>CUST0959</t>
  </si>
  <si>
    <t>Akarsh Balay</t>
  </si>
  <si>
    <t>CUST0960</t>
  </si>
  <si>
    <t>Shanaya Tak</t>
  </si>
  <si>
    <t>CUST0961</t>
  </si>
  <si>
    <t>Taran Handa</t>
  </si>
  <si>
    <t>CUST0962</t>
  </si>
  <si>
    <t>Diya Mangat</t>
  </si>
  <si>
    <t>CUST0963</t>
  </si>
  <si>
    <t>Hridaan Guha</t>
  </si>
  <si>
    <t>CUST0964</t>
  </si>
  <si>
    <t>Divij Yogi</t>
  </si>
  <si>
    <t>CUST0965</t>
  </si>
  <si>
    <t>Hiran Ramanathan</t>
  </si>
  <si>
    <t>CUST0966</t>
  </si>
  <si>
    <t>Indranil Sachdev</t>
  </si>
  <si>
    <t>CUST0967</t>
  </si>
  <si>
    <t>Riaan Karpe</t>
  </si>
  <si>
    <t>CUST0968</t>
  </si>
  <si>
    <t>Yuvraj  Dara</t>
  </si>
  <si>
    <t>CUST0969</t>
  </si>
  <si>
    <t>Manikya Golla</t>
  </si>
  <si>
    <t>CUST0970</t>
  </si>
  <si>
    <t>Anika Cherian</t>
  </si>
  <si>
    <t>CUST0971</t>
  </si>
  <si>
    <t>Hunar Salvi</t>
  </si>
  <si>
    <t>CUST0972</t>
  </si>
  <si>
    <t>Parinaaz Ratta</t>
  </si>
  <si>
    <t>CUST0973</t>
  </si>
  <si>
    <t>Ritvik Shere</t>
  </si>
  <si>
    <t>CUST0974</t>
  </si>
  <si>
    <t>Shanaya Mangal</t>
  </si>
  <si>
    <t>CUST0975</t>
  </si>
  <si>
    <t>Nishith Gera</t>
  </si>
  <si>
    <t>CUST0976</t>
  </si>
  <si>
    <t>Gokul Chahal</t>
  </si>
  <si>
    <t>CUST0977</t>
  </si>
  <si>
    <t>Kismat Chandran</t>
  </si>
  <si>
    <t>CUST0978</t>
  </si>
  <si>
    <t>Baiju Bandi</t>
  </si>
  <si>
    <t>CUST0979</t>
  </si>
  <si>
    <t>Jayan Gandhi</t>
  </si>
  <si>
    <t>CUST0980</t>
  </si>
  <si>
    <t>Jayesh Vig</t>
  </si>
  <si>
    <t>CUST0981</t>
  </si>
  <si>
    <t>Pranay Rastogi</t>
  </si>
  <si>
    <t>CUST0982</t>
  </si>
  <si>
    <t>Vihaan Mammen</t>
  </si>
  <si>
    <t>CUST0983</t>
  </si>
  <si>
    <t>Kashvi Datta</t>
  </si>
  <si>
    <t>CUST0984</t>
  </si>
  <si>
    <t>Abram Sastry</t>
  </si>
  <si>
    <t>CUST0985</t>
  </si>
  <si>
    <t>Diya Agrawal</t>
  </si>
  <si>
    <t>CUST0986</t>
  </si>
  <si>
    <t>Sara Zacharia</t>
  </si>
  <si>
    <t>CUST0987</t>
  </si>
  <si>
    <t>Anaya Chana</t>
  </si>
  <si>
    <t>CUST0988</t>
  </si>
  <si>
    <t>Eva Chanda</t>
  </si>
  <si>
    <t>CUST0989</t>
  </si>
  <si>
    <t>Vedika Ghosh</t>
  </si>
  <si>
    <t>CUST0990</t>
  </si>
  <si>
    <t>Jayant Kar</t>
  </si>
  <si>
    <t>CUST0991</t>
  </si>
  <si>
    <t>Tejas Mander</t>
  </si>
  <si>
    <t>CUST0992</t>
  </si>
  <si>
    <t>Reyansh Bansal</t>
  </si>
  <si>
    <t>CUST0993</t>
  </si>
  <si>
    <t>Indrajit Biswas</t>
  </si>
  <si>
    <t>CUST0994</t>
  </si>
  <si>
    <t>Jayant Ramakrishnan</t>
  </si>
  <si>
    <t>CUST0995</t>
  </si>
  <si>
    <t>Lakshit Ramachandran</t>
  </si>
  <si>
    <t>CUST0996</t>
  </si>
  <si>
    <t>Dhanush Sharaf</t>
  </si>
  <si>
    <t>CUST0997</t>
  </si>
  <si>
    <t>Sahil Dua</t>
  </si>
  <si>
    <t>CUST0998</t>
  </si>
  <si>
    <t>Myra Lalla</t>
  </si>
  <si>
    <t>CUST0999</t>
  </si>
  <si>
    <t>Stuvan Kalita</t>
  </si>
  <si>
    <t>CUST1000</t>
  </si>
  <si>
    <t>Khushi Desai</t>
  </si>
  <si>
    <t>CUST1001</t>
  </si>
  <si>
    <t>Chirag Char</t>
  </si>
  <si>
    <t>CUST1002</t>
  </si>
  <si>
    <t>Vardaniya Khatri</t>
  </si>
  <si>
    <t>CUST1003</t>
  </si>
  <si>
    <t>Myra Kapadia</t>
  </si>
  <si>
    <t>CUST1004</t>
  </si>
  <si>
    <t>Nitara Taneja</t>
  </si>
  <si>
    <t>CUST1005</t>
  </si>
  <si>
    <t>Jivin Rajagopal</t>
  </si>
  <si>
    <t>CUST1006</t>
  </si>
  <si>
    <t>Riaan Thaman</t>
  </si>
  <si>
    <t>CUST1007</t>
  </si>
  <si>
    <t>Saira Khalsa</t>
  </si>
  <si>
    <t>CUST1008</t>
  </si>
  <si>
    <t>Vritika Raman</t>
  </si>
  <si>
    <t>CUST1009</t>
  </si>
  <si>
    <t>Hrishita Shah</t>
  </si>
  <si>
    <t>CUST1010</t>
  </si>
  <si>
    <t>Ojas Chacko</t>
  </si>
  <si>
    <t>CUST1011</t>
  </si>
  <si>
    <t>Umang Wali</t>
  </si>
  <si>
    <t>CUST1012</t>
  </si>
  <si>
    <t>Fateh Sampath</t>
  </si>
  <si>
    <t>CUST1013</t>
  </si>
  <si>
    <t>Ehsaan Sarraf</t>
  </si>
  <si>
    <t>CUST1014</t>
  </si>
  <si>
    <t>Anahi Shere</t>
  </si>
  <si>
    <t>CUST1015</t>
  </si>
  <si>
    <t>Uthkarsh Doshi</t>
  </si>
  <si>
    <t>CUST1016</t>
  </si>
  <si>
    <t>Ritvik Bhat</t>
  </si>
  <si>
    <t>CUST1017</t>
  </si>
  <si>
    <t>Kiara Handa</t>
  </si>
  <si>
    <t>CUST1018</t>
  </si>
  <si>
    <t>Zoya Chandran</t>
  </si>
  <si>
    <t>CUST1019</t>
  </si>
  <si>
    <t>Nayantara Srinivas</t>
  </si>
  <si>
    <t>CUST1020</t>
  </si>
  <si>
    <t>Sumer Sur</t>
  </si>
  <si>
    <t>CUST1021</t>
  </si>
  <si>
    <t>Onkar Toor</t>
  </si>
  <si>
    <t>CUST1022</t>
  </si>
  <si>
    <t>Neysa Singh</t>
  </si>
  <si>
    <t>CUST1023</t>
  </si>
  <si>
    <t>Umang Lad</t>
  </si>
  <si>
    <t>CUST1024</t>
  </si>
  <si>
    <t>Tushar Chawla</t>
  </si>
  <si>
    <t>CUST1025</t>
  </si>
  <si>
    <t>Amira Wable</t>
  </si>
  <si>
    <t>CUST1026</t>
  </si>
  <si>
    <t>Zain Balakrishnan</t>
  </si>
  <si>
    <t>CUST1027</t>
  </si>
  <si>
    <t>Adira Chakraborty</t>
  </si>
  <si>
    <t>CUST1028</t>
  </si>
  <si>
    <t>Anaya Dani</t>
  </si>
  <si>
    <t>CUST1029</t>
  </si>
  <si>
    <t>Ira Jain</t>
  </si>
  <si>
    <t>CUST1030</t>
  </si>
  <si>
    <t>Hiran Bhargava</t>
  </si>
  <si>
    <t>CUST1031</t>
  </si>
  <si>
    <t>Zoya Dani</t>
  </si>
  <si>
    <t>CUST1032</t>
  </si>
  <si>
    <t>Ritvik Buch</t>
  </si>
  <si>
    <t>CUST1033</t>
  </si>
  <si>
    <t>Nakul Chawla</t>
  </si>
  <si>
    <t>CUST1034</t>
  </si>
  <si>
    <t>Riaan Raja</t>
  </si>
  <si>
    <t>CUST1035</t>
  </si>
  <si>
    <t>Anahita Mammen</t>
  </si>
  <si>
    <t>CUST1036</t>
  </si>
  <si>
    <t>Madhav Mall</t>
  </si>
  <si>
    <t>CUST1037</t>
  </si>
  <si>
    <t>Vivaan Babu</t>
  </si>
  <si>
    <t>CUST1038</t>
  </si>
  <si>
    <t>Myra Jani</t>
  </si>
  <si>
    <t>CUST1039</t>
  </si>
  <si>
    <t>Ritvik Batta</t>
  </si>
  <si>
    <t>CUST1040</t>
  </si>
  <si>
    <t>Stuvan Kar</t>
  </si>
  <si>
    <t>CUST1041</t>
  </si>
  <si>
    <t>Pranay Issac</t>
  </si>
  <si>
    <t>CUST1042</t>
  </si>
  <si>
    <t>Ryan Mall</t>
  </si>
  <si>
    <t>CUST1043</t>
  </si>
  <si>
    <t>Arhaan Sarkar</t>
  </si>
  <si>
    <t>CUST1044</t>
  </si>
  <si>
    <t>Keya Mangal</t>
  </si>
  <si>
    <t>CUST1045</t>
  </si>
  <si>
    <t>Ehsaan Shenoy</t>
  </si>
  <si>
    <t>CUST1046</t>
  </si>
  <si>
    <t>Hridaan Dewan</t>
  </si>
  <si>
    <t>CUST1047</t>
  </si>
  <si>
    <t>Badal Contractor</t>
  </si>
  <si>
    <t>CUST1048</t>
  </si>
  <si>
    <t>Neelofar Karnik</t>
  </si>
  <si>
    <t>CUST1049</t>
  </si>
  <si>
    <t>Kaira Chaudhuri</t>
  </si>
  <si>
    <t>CUST1050</t>
  </si>
  <si>
    <t>Darshit Soman</t>
  </si>
  <si>
    <t>CUST1051</t>
  </si>
  <si>
    <t>Vivaan Bajaj</t>
  </si>
  <si>
    <t>CUST1052</t>
  </si>
  <si>
    <t>Dhanuk Bala</t>
  </si>
  <si>
    <t>CUST1053</t>
  </si>
  <si>
    <t>Heer Kumar</t>
  </si>
  <si>
    <t>CUST1054</t>
  </si>
  <si>
    <t>Kartik Dugal</t>
  </si>
  <si>
    <t>CUST1055</t>
  </si>
  <si>
    <t>Tarini Bhandari</t>
  </si>
  <si>
    <t>CUST1056</t>
  </si>
  <si>
    <t>Vedika Golla</t>
  </si>
  <si>
    <t>CUST1057</t>
  </si>
  <si>
    <t>Zaina Kadakia</t>
  </si>
  <si>
    <t>CUST1058</t>
  </si>
  <si>
    <t>Charvi Desai</t>
  </si>
  <si>
    <t>CUST1059</t>
  </si>
  <si>
    <t>Pranay Saran</t>
  </si>
  <si>
    <t>CUST1060</t>
  </si>
  <si>
    <t>Amira Reddy</t>
  </si>
  <si>
    <t>CUST1061</t>
  </si>
  <si>
    <t>Tushar Srivastava</t>
  </si>
  <si>
    <t>CUST1062</t>
  </si>
  <si>
    <t>Nakul Sahota</t>
  </si>
  <si>
    <t>CUST1063</t>
  </si>
  <si>
    <t>Prisha Bhatnagar</t>
  </si>
  <si>
    <t>CUST1064</t>
  </si>
  <si>
    <t>Tiya Hayre</t>
  </si>
  <si>
    <t>CUST1065</t>
  </si>
  <si>
    <t>Nakul Bobal</t>
  </si>
  <si>
    <t>CUST1066</t>
  </si>
  <si>
    <t>Anvi Tella</t>
  </si>
  <si>
    <t>CUST1067</t>
  </si>
  <si>
    <t>Shamik Walla</t>
  </si>
  <si>
    <t>CUST1068</t>
  </si>
  <si>
    <t>Kabir Raj</t>
  </si>
  <si>
    <t>CUST1069</t>
  </si>
  <si>
    <t>Madhup Doshi</t>
  </si>
  <si>
    <t>CUST1070</t>
  </si>
  <si>
    <t>Yuvaan Borah</t>
  </si>
  <si>
    <t>CUST1071</t>
  </si>
  <si>
    <t>Sana Doshi</t>
  </si>
  <si>
    <t>CUST1072</t>
  </si>
  <si>
    <t>Zara Virk</t>
  </si>
  <si>
    <t>CUST1073</t>
  </si>
  <si>
    <t>Divit Vasa</t>
  </si>
  <si>
    <t>CUST1074</t>
  </si>
  <si>
    <t>Drishya Konda</t>
  </si>
  <si>
    <t>CUST1075</t>
  </si>
  <si>
    <t>CUST1076</t>
  </si>
  <si>
    <t>Indrans Gokhale</t>
  </si>
  <si>
    <t>CUST1077</t>
  </si>
  <si>
    <t>Eshani Kata</t>
  </si>
  <si>
    <t>CUST1078</t>
  </si>
  <si>
    <t>Biju Kumar</t>
  </si>
  <si>
    <t>CUST1079</t>
  </si>
  <si>
    <t>Saksham Kade</t>
  </si>
  <si>
    <t>CUST1080</t>
  </si>
  <si>
    <t>Lavanya Warrior</t>
  </si>
  <si>
    <t>CUST1081</t>
  </si>
  <si>
    <t>Dhruv Lad</t>
  </si>
  <si>
    <t>CUST1082</t>
  </si>
  <si>
    <t>Inaaya  Kuruvilla</t>
  </si>
  <si>
    <t>CUST1083</t>
  </si>
  <si>
    <t>Kiara Khalsa</t>
  </si>
  <si>
    <t>CUST1084</t>
  </si>
  <si>
    <t>Lagan Walla</t>
  </si>
  <si>
    <t>CUST1085</t>
  </si>
  <si>
    <t>Tanya Saxena</t>
  </si>
  <si>
    <t>CUST1086</t>
  </si>
  <si>
    <t>Miraan Uppal</t>
  </si>
  <si>
    <t>CUST1087</t>
  </si>
  <si>
    <t>Hiran Saraf</t>
  </si>
  <si>
    <t>CUST1088</t>
  </si>
  <si>
    <t>Samiha Dasgupta</t>
  </si>
  <si>
    <t>CUST1089</t>
  </si>
  <si>
    <t>Shlok Vohra</t>
  </si>
  <si>
    <t>CUST1090</t>
  </si>
  <si>
    <t>Mehul Rajagopal</t>
  </si>
  <si>
    <t>CUST1091</t>
  </si>
  <si>
    <t>Nayantara Tata</t>
  </si>
  <si>
    <t>CUST1092</t>
  </si>
  <si>
    <t>Anay Rana</t>
  </si>
  <si>
    <t>CUST1093</t>
  </si>
  <si>
    <t>Ayesha Walla</t>
  </si>
  <si>
    <t>CUST1094</t>
  </si>
  <si>
    <t>Onkar Mannan</t>
  </si>
  <si>
    <t>CUST1095</t>
  </si>
  <si>
    <t>Samarth Dey</t>
  </si>
  <si>
    <t>CUST1096</t>
  </si>
  <si>
    <t>Tejas Gade</t>
  </si>
  <si>
    <t>CUST1097</t>
  </si>
  <si>
    <t>Fateh Rastogi</t>
  </si>
  <si>
    <t>CUST1098</t>
  </si>
  <si>
    <t>Aarav Gandhi</t>
  </si>
  <si>
    <t>CUST1099</t>
  </si>
  <si>
    <t>Pihu Sankaran</t>
  </si>
  <si>
    <t>CUST1100</t>
  </si>
  <si>
    <t>Taran Krish</t>
  </si>
  <si>
    <t>CUST1101</t>
  </si>
  <si>
    <t>Mehul Kapur</t>
  </si>
  <si>
    <t>CUST1102</t>
  </si>
  <si>
    <t>Divyansh Dewan</t>
  </si>
  <si>
    <t>CUST1103</t>
  </si>
  <si>
    <t>Amani Shan</t>
  </si>
  <si>
    <t>CUST1104</t>
  </si>
  <si>
    <t>Emir Ranganathan</t>
  </si>
  <si>
    <t>CUST1105</t>
  </si>
  <si>
    <t>Onkar Sankar</t>
  </si>
  <si>
    <t>CUST1106</t>
  </si>
  <si>
    <t>Hridaan Halder</t>
  </si>
  <si>
    <t>CUST1107</t>
  </si>
  <si>
    <t>Mahika Bera</t>
  </si>
  <si>
    <t>CUST1108</t>
  </si>
  <si>
    <t>Indrajit Sundaram</t>
  </si>
  <si>
    <t>CUST1109</t>
  </si>
  <si>
    <t>Jayesh Dewan</t>
  </si>
  <si>
    <t>CUST1110</t>
  </si>
  <si>
    <t>Raunak Venkataraman</t>
  </si>
  <si>
    <t>CUST1111</t>
  </si>
  <si>
    <t>Misha Rau</t>
  </si>
  <si>
    <t>CUST1112</t>
  </si>
  <si>
    <t>Romil Mander</t>
  </si>
  <si>
    <t>CUST1113</t>
  </si>
  <si>
    <t>Drishya Sha</t>
  </si>
  <si>
    <t>CUST1114</t>
  </si>
  <si>
    <t>Shlok Shanker</t>
  </si>
  <si>
    <t>CUST1115</t>
  </si>
  <si>
    <t>Divyansh Kara</t>
  </si>
  <si>
    <t>CUST1116</t>
  </si>
  <si>
    <t>Zaina Dara</t>
  </si>
  <si>
    <t>CUST1117</t>
  </si>
  <si>
    <t>Kaira Manda</t>
  </si>
  <si>
    <t>CUST1118</t>
  </si>
  <si>
    <t>Shlok Kaul</t>
  </si>
  <si>
    <t>CUST1119</t>
  </si>
  <si>
    <t>Taran Dhar</t>
  </si>
  <si>
    <t>CUST1120</t>
  </si>
  <si>
    <t>Kiara Khare</t>
  </si>
  <si>
    <t>CUST1121</t>
  </si>
  <si>
    <t>Kartik Deo</t>
  </si>
  <si>
    <t>CUST1122</t>
  </si>
  <si>
    <t>Piya Varghese</t>
  </si>
  <si>
    <t>CUST1123</t>
  </si>
  <si>
    <t>Diya Dugar</t>
  </si>
  <si>
    <t>CUST1124</t>
  </si>
  <si>
    <t>Vaibhav Grewal</t>
  </si>
  <si>
    <t>CUST1125</t>
  </si>
  <si>
    <t>Mehul Bawa</t>
  </si>
  <si>
    <t>CUST1126</t>
  </si>
  <si>
    <t>Riya Rajagopal</t>
  </si>
  <si>
    <t>CUST1127</t>
  </si>
  <si>
    <t>Saksham Singh</t>
  </si>
  <si>
    <t>CUST1128</t>
  </si>
  <si>
    <t>Chirag Dhaliwal</t>
  </si>
  <si>
    <t>CUST1129</t>
  </si>
  <si>
    <t>Damini Vyas</t>
  </si>
  <si>
    <t>CUST1130</t>
  </si>
  <si>
    <t>Himmat Garg</t>
  </si>
  <si>
    <t>CUST1131</t>
  </si>
  <si>
    <t>Ahana  Kade</t>
  </si>
  <si>
    <t>CUST1132</t>
  </si>
  <si>
    <t>Tarini Atwal</t>
  </si>
  <si>
    <t>CUST1133</t>
  </si>
  <si>
    <t>Devansh Jani</t>
  </si>
  <si>
    <t>CUST1134</t>
  </si>
  <si>
    <t>Hiran Shroff</t>
  </si>
  <si>
    <t>CUST1135</t>
  </si>
  <si>
    <t>Aarush Kade</t>
  </si>
  <si>
    <t>CUST1136</t>
  </si>
  <si>
    <t>Zoya Madan</t>
  </si>
  <si>
    <t>CUST1137</t>
  </si>
  <si>
    <t>Nirvaan Das</t>
  </si>
  <si>
    <t>CUST1138</t>
  </si>
  <si>
    <t>Tejas Hayre</t>
  </si>
  <si>
    <t>CUST1139</t>
  </si>
  <si>
    <t>Madhup Singhal</t>
  </si>
  <si>
    <t>CUST1140</t>
  </si>
  <si>
    <t>Rasha Wagle</t>
  </si>
  <si>
    <t>CUST1141</t>
  </si>
  <si>
    <t>Nirvi Luthra</t>
  </si>
  <si>
    <t>CUST1142</t>
  </si>
  <si>
    <t>Tushar Bhalla</t>
  </si>
  <si>
    <t>CUST1143</t>
  </si>
  <si>
    <t>Sahil Sathe</t>
  </si>
  <si>
    <t>CUST1144</t>
  </si>
  <si>
    <t>Riya Sane</t>
  </si>
  <si>
    <t>CUST1145</t>
  </si>
  <si>
    <t>Saanvi Kumar</t>
  </si>
  <si>
    <t>CUST1146</t>
  </si>
  <si>
    <t>Yuvraj  Acharya</t>
  </si>
  <si>
    <t>CUST1147</t>
  </si>
  <si>
    <t>Zaina Dayal</t>
  </si>
  <si>
    <t>CUST1148</t>
  </si>
  <si>
    <t>Ehsaan Chakraborty</t>
  </si>
  <si>
    <t>CUST1149</t>
  </si>
  <si>
    <t>Raghav Sani</t>
  </si>
  <si>
    <t>CUST1150</t>
  </si>
  <si>
    <t>Eshani Sibal</t>
  </si>
  <si>
    <t>CUST1151</t>
  </si>
  <si>
    <t>Lavanya Kibe</t>
  </si>
  <si>
    <t>CUST1152</t>
  </si>
  <si>
    <t>Rania Iyer</t>
  </si>
  <si>
    <t>CUST1153</t>
  </si>
  <si>
    <t>Neelofar Mann</t>
  </si>
  <si>
    <t>CUST1154</t>
  </si>
  <si>
    <t>Kiaan Borde</t>
  </si>
  <si>
    <t>CUST1155</t>
  </si>
  <si>
    <t>Hazel Mammen</t>
  </si>
  <si>
    <t>CUST1156</t>
  </si>
  <si>
    <t>Aaryahi Gade</t>
  </si>
  <si>
    <t>CUST1157</t>
  </si>
  <si>
    <t>Advik Sathe</t>
  </si>
  <si>
    <t>CUST1158</t>
  </si>
  <si>
    <t>Miraya Kapoor</t>
  </si>
  <si>
    <t>CUST1159</t>
  </si>
  <si>
    <t>Drishya Banerjee</t>
  </si>
  <si>
    <t>CUST1160</t>
  </si>
  <si>
    <t>Seher Sengupta</t>
  </si>
  <si>
    <t>CUST1161</t>
  </si>
  <si>
    <t>Anvi Chada</t>
  </si>
  <si>
    <t>CUST1162</t>
  </si>
  <si>
    <t>Khushi Karan</t>
  </si>
  <si>
    <t>CUST1163</t>
  </si>
  <si>
    <t>Oorja Sura</t>
  </si>
  <si>
    <t>CUST1164</t>
  </si>
  <si>
    <t>Jayant Ranganathan</t>
  </si>
  <si>
    <t>CUST1165</t>
  </si>
  <si>
    <t>Bhavin Ramakrishnan</t>
  </si>
  <si>
    <t>CUST1166</t>
  </si>
  <si>
    <t>Jayant Yadav</t>
  </si>
  <si>
    <t>CUST1167</t>
  </si>
  <si>
    <t>Purab Arora</t>
  </si>
  <si>
    <t>CUST1168</t>
  </si>
  <si>
    <t>Nehmat Ben</t>
  </si>
  <si>
    <t>CUST1169</t>
  </si>
  <si>
    <t>Devansh Chokshi</t>
  </si>
  <si>
    <t>CUST1170</t>
  </si>
  <si>
    <t>Navya Banerjee</t>
  </si>
  <si>
    <t>CUST1171</t>
  </si>
  <si>
    <t>Ishita Balay</t>
  </si>
  <si>
    <t>CUST1172</t>
  </si>
  <si>
    <t>Heer Gupta</t>
  </si>
  <si>
    <t>CUST1173</t>
  </si>
  <si>
    <t>Adira Dube</t>
  </si>
  <si>
    <t>CUST1174</t>
  </si>
  <si>
    <t>Indranil Rama</t>
  </si>
  <si>
    <t>CUST1175</t>
  </si>
  <si>
    <t>Riaan Aggarwal</t>
  </si>
  <si>
    <t>CUST1176</t>
  </si>
  <si>
    <t>Anahi Sarraf</t>
  </si>
  <si>
    <t>CUST1177</t>
  </si>
  <si>
    <t>Ranbir Sheth</t>
  </si>
  <si>
    <t>CUST1178</t>
  </si>
  <si>
    <t>Tejas Dar</t>
  </si>
  <si>
    <t>CUST1179</t>
  </si>
  <si>
    <t>Arnav Koshy</t>
  </si>
  <si>
    <t>CUST1180</t>
  </si>
  <si>
    <t>Yuvraj  Ganesan</t>
  </si>
  <si>
    <t>CUST1181</t>
  </si>
  <si>
    <t>Shalv Comar</t>
  </si>
  <si>
    <t>CUST1182</t>
  </si>
  <si>
    <t>Sana Bail</t>
  </si>
  <si>
    <t>CUST1183</t>
  </si>
  <si>
    <t>Misha Tank</t>
  </si>
  <si>
    <t>CUST1184</t>
  </si>
  <si>
    <t>Nirvi Sane</t>
  </si>
  <si>
    <t>CUST1185</t>
  </si>
  <si>
    <t>Mamooty Hans</t>
  </si>
  <si>
    <t>CUST1186</t>
  </si>
  <si>
    <t>Nayantara Sha</t>
  </si>
  <si>
    <t>CUST1187</t>
  </si>
  <si>
    <t>Drishya Varkey</t>
  </si>
  <si>
    <t>CUST1188</t>
  </si>
  <si>
    <t>Anika Sura</t>
  </si>
  <si>
    <t>CUST1189</t>
  </si>
  <si>
    <t>Kavya Babu</t>
  </si>
  <si>
    <t>CUST1190</t>
  </si>
  <si>
    <t>Chirag Krishnan</t>
  </si>
  <si>
    <t>CUST1191</t>
  </si>
  <si>
    <t>Kanav Bose</t>
  </si>
  <si>
    <t>CUST1192</t>
  </si>
  <si>
    <t>Nirvi Gandhi</t>
  </si>
  <si>
    <t>CUST1193</t>
  </si>
  <si>
    <t>Anay Gara</t>
  </si>
  <si>
    <t>CUST1194</t>
  </si>
  <si>
    <t>Tanya Rajan</t>
  </si>
  <si>
    <t>CUST1195</t>
  </si>
  <si>
    <t>Baiju Ranganathan</t>
  </si>
  <si>
    <t>CUST1196</t>
  </si>
  <si>
    <t>Madhup Tiwari</t>
  </si>
  <si>
    <t>CUST1197</t>
  </si>
  <si>
    <t>Kashvi Yogi</t>
  </si>
  <si>
    <t>CUST1198</t>
  </si>
  <si>
    <t>Mamooty Shroff</t>
  </si>
  <si>
    <t>CUST1199</t>
  </si>
  <si>
    <t>Rasha Brar</t>
  </si>
  <si>
    <t>CUST1200</t>
  </si>
  <si>
    <t>Samar Shetty</t>
  </si>
  <si>
    <t>CUST1201</t>
  </si>
  <si>
    <t>Zeeshan Savant</t>
  </si>
  <si>
    <t>CUST1202</t>
  </si>
  <si>
    <t>Akarsh Kota</t>
  </si>
  <si>
    <t>CUST1203</t>
  </si>
  <si>
    <t>Biju Jani</t>
  </si>
  <si>
    <t>CUST1204</t>
  </si>
  <si>
    <t>Onkar Grewal</t>
  </si>
  <si>
    <t>CUST1205</t>
  </si>
  <si>
    <t>Fateh Vohra</t>
  </si>
  <si>
    <t>CUST1206</t>
  </si>
  <si>
    <t>Abram Venkatesh</t>
  </si>
  <si>
    <t>CUST1207</t>
  </si>
  <si>
    <t>Ivan Buch</t>
  </si>
  <si>
    <t>CUST1208</t>
  </si>
  <si>
    <t>Lagan Tailor</t>
  </si>
  <si>
    <t>CUST1209</t>
  </si>
  <si>
    <t>Chirag Sur</t>
  </si>
  <si>
    <t>CUST1210</t>
  </si>
  <si>
    <t>Zara Char</t>
  </si>
  <si>
    <t>CUST1211</t>
  </si>
  <si>
    <t>Krish Chandran</t>
  </si>
  <si>
    <t>CUST1212</t>
  </si>
  <si>
    <t>Lavanya Sant</t>
  </si>
  <si>
    <t>CUST1213</t>
  </si>
  <si>
    <t>Samiha Dave</t>
  </si>
  <si>
    <t>CUST1214</t>
  </si>
  <si>
    <t>Nirvi Sehgal</t>
  </si>
  <si>
    <t>CUST1215</t>
  </si>
  <si>
    <t>Raghav Badal</t>
  </si>
  <si>
    <t>CUST1216</t>
  </si>
  <si>
    <t>Rhea Bakshi</t>
  </si>
  <si>
    <t>CUST1217</t>
  </si>
  <si>
    <t>Lakshit Mander</t>
  </si>
  <si>
    <t>CUST1218</t>
  </si>
  <si>
    <t>Ojas Dugar</t>
  </si>
  <si>
    <t>CUST1219</t>
  </si>
  <si>
    <t>Jivin Chakrabarti</t>
  </si>
  <si>
    <t>CUST1220</t>
  </si>
  <si>
    <t>Anahi Baria</t>
  </si>
  <si>
    <t>CUST1221</t>
  </si>
  <si>
    <t>Farhan Dash</t>
  </si>
  <si>
    <t>CUST1222</t>
  </si>
  <si>
    <t>Badal Shankar</t>
  </si>
  <si>
    <t>CUST1223</t>
  </si>
  <si>
    <t>Mishti Kapadia</t>
  </si>
  <si>
    <t>CUST1224</t>
  </si>
  <si>
    <t>Ayesha Grover</t>
  </si>
  <si>
    <t>CUST1225</t>
  </si>
  <si>
    <t>Aayush Banerjee</t>
  </si>
  <si>
    <t>CUST1226</t>
  </si>
  <si>
    <t>Anvi Sheth</t>
  </si>
  <si>
    <t>CUST1227</t>
  </si>
  <si>
    <t>Baiju Varty</t>
  </si>
  <si>
    <t>CUST1228</t>
  </si>
  <si>
    <t>Inaaya  Rana</t>
  </si>
  <si>
    <t>CUST1229</t>
  </si>
  <si>
    <t>Pari Sampath</t>
  </si>
  <si>
    <t>CUST1230</t>
  </si>
  <si>
    <t>Tara Doshi</t>
  </si>
  <si>
    <t>CUST1231</t>
  </si>
  <si>
    <t>Zaina Saxena</t>
  </si>
  <si>
    <t>CUST1232</t>
  </si>
  <si>
    <t>Amani Ratti</t>
  </si>
  <si>
    <t>CUST1233</t>
  </si>
  <si>
    <t>Piya Loke</t>
  </si>
  <si>
    <t>CUST1234</t>
  </si>
  <si>
    <t>Fateh Ratti</t>
  </si>
  <si>
    <t>CUST1235</t>
  </si>
  <si>
    <t>Yuvraj  Gala</t>
  </si>
  <si>
    <t>CUST1236</t>
  </si>
  <si>
    <t>Reyansh Dewan</t>
  </si>
  <si>
    <t>CUST1237</t>
  </si>
  <si>
    <t>Manjari Dyal</t>
  </si>
  <si>
    <t>CUST1238</t>
  </si>
  <si>
    <t>Kanav Shah</t>
  </si>
  <si>
    <t>CUST1239</t>
  </si>
  <si>
    <t>Akarsh Kalita</t>
  </si>
  <si>
    <t>CUST1240</t>
  </si>
  <si>
    <t>Samarth Solanki</t>
  </si>
  <si>
    <t>CUST1241</t>
  </si>
  <si>
    <t>Vaibhav Sodhi</t>
  </si>
  <si>
    <t>CUST1242</t>
  </si>
  <si>
    <t>Urvi Trivedi</t>
  </si>
  <si>
    <t>CUST1243</t>
  </si>
  <si>
    <t>Trisha Thaman</t>
  </si>
  <si>
    <t>CUST1244</t>
  </si>
  <si>
    <t>Lakshay Thakkar</t>
  </si>
  <si>
    <t>CUST1245</t>
  </si>
  <si>
    <t>Ahana  Thaman</t>
  </si>
  <si>
    <t>CUST1246</t>
  </si>
  <si>
    <t>Kanav Chatterjee</t>
  </si>
  <si>
    <t>CUST1247</t>
  </si>
  <si>
    <t>Prerak Sahota</t>
  </si>
  <si>
    <t>CUST1248</t>
  </si>
  <si>
    <t>Taimur Krishnan</t>
  </si>
  <si>
    <t>CUST1249</t>
  </si>
  <si>
    <t>Aaryahi Dugal</t>
  </si>
  <si>
    <t>CUST1250</t>
  </si>
  <si>
    <t>CUST1251</t>
  </si>
  <si>
    <t>Seher Deshmukh</t>
  </si>
  <si>
    <t>CUST1252</t>
  </si>
  <si>
    <t>Samiha Konda</t>
  </si>
  <si>
    <t>CUST1253</t>
  </si>
  <si>
    <t>Biju Lala</t>
  </si>
  <si>
    <t>CUST1254</t>
  </si>
  <si>
    <t>Nehmat Kar</t>
  </si>
  <si>
    <t>CUST1255</t>
  </si>
  <si>
    <t>Ishita Sodhi</t>
  </si>
  <si>
    <t>CUST1256</t>
  </si>
  <si>
    <t>Khushi Bahl</t>
  </si>
  <si>
    <t>CUST1257</t>
  </si>
  <si>
    <t>Nayantara Venkatesh</t>
  </si>
  <si>
    <t>CUST1258</t>
  </si>
  <si>
    <t>Miraan Chowdhury</t>
  </si>
  <si>
    <t>CUST1259</t>
  </si>
  <si>
    <t>Zeeshan Hayre</t>
  </si>
  <si>
    <t>CUST1260</t>
  </si>
  <si>
    <t>Shlok Chad</t>
  </si>
  <si>
    <t>CUST1261</t>
  </si>
  <si>
    <t>Kartik Chandran</t>
  </si>
  <si>
    <t>CUST1262</t>
  </si>
  <si>
    <t>Zeeshan Mammen</t>
  </si>
  <si>
    <t>CUST1263</t>
  </si>
  <si>
    <t>Kiaan Malhotra</t>
  </si>
  <si>
    <t>CUST1264</t>
  </si>
  <si>
    <t>Yasmin Bajaj</t>
  </si>
  <si>
    <t>CUST1265</t>
  </si>
  <si>
    <t>Aaryahi Bains</t>
  </si>
  <si>
    <t>CUST1266</t>
  </si>
  <si>
    <t>Hunar Seshadri</t>
  </si>
  <si>
    <t>CUST1267</t>
  </si>
  <si>
    <t>Ishaan Arora</t>
  </si>
  <si>
    <t>CUST1268</t>
  </si>
  <si>
    <t>Aarush Bandi</t>
  </si>
  <si>
    <t>CUST1269</t>
  </si>
  <si>
    <t>Aradhya Gera</t>
  </si>
  <si>
    <t>CUST1270</t>
  </si>
  <si>
    <t>Keya Kant</t>
  </si>
  <si>
    <t>CUST1271</t>
  </si>
  <si>
    <t>Hansh Kaur</t>
  </si>
  <si>
    <t>CUST1272</t>
  </si>
  <si>
    <t>Nitara Chowdhury</t>
  </si>
  <si>
    <t>CUST1273</t>
  </si>
  <si>
    <t>Vihaan Gola</t>
  </si>
  <si>
    <t>CUST1274</t>
  </si>
  <si>
    <t>Vihaan Bansal</t>
  </si>
  <si>
    <t>CUST1275</t>
  </si>
  <si>
    <t>Piya Suresh</t>
  </si>
  <si>
    <t>CUST1276</t>
  </si>
  <si>
    <t>Jayesh Kala</t>
  </si>
  <si>
    <t>CUST1277</t>
  </si>
  <si>
    <t>Adah Mall</t>
  </si>
  <si>
    <t>CUST1278</t>
  </si>
  <si>
    <t>Shayak Ganguly</t>
  </si>
  <si>
    <t>CUST1279</t>
  </si>
  <si>
    <t>Yuvraj  Mandal</t>
  </si>
  <si>
    <t>CUST1280</t>
  </si>
  <si>
    <t>Mamooty Bobal</t>
  </si>
  <si>
    <t>CUST1281</t>
  </si>
  <si>
    <t>Hrishita Wali</t>
  </si>
  <si>
    <t>CUST1282</t>
  </si>
  <si>
    <t>Keya Ghosh</t>
  </si>
  <si>
    <t>CUST1283</t>
  </si>
  <si>
    <t>Keya Buch</t>
  </si>
  <si>
    <t>CUST1284</t>
  </si>
  <si>
    <t>Drishya Dewan</t>
  </si>
  <si>
    <t>CUST1285</t>
  </si>
  <si>
    <t>Divij Uppal</t>
  </si>
  <si>
    <t>CUST1286</t>
  </si>
  <si>
    <t>Gatik Toor</t>
  </si>
  <si>
    <t>CUST1287</t>
  </si>
  <si>
    <t>Kimaya Goda</t>
  </si>
  <si>
    <t>CUST1288</t>
  </si>
  <si>
    <t>Shayak Dhar</t>
  </si>
  <si>
    <t>CUST1289</t>
  </si>
  <si>
    <t>Indrans Ben</t>
  </si>
  <si>
    <t>CUST1290</t>
  </si>
  <si>
    <t>Vihaan Walla</t>
  </si>
  <si>
    <t>CUST1291</t>
  </si>
  <si>
    <t>Jhanvi Keer</t>
  </si>
  <si>
    <t>CUST1292</t>
  </si>
  <si>
    <t>Vritika Rajagopal</t>
  </si>
  <si>
    <t>CUST1293</t>
  </si>
  <si>
    <t>Kiaan Vasa</t>
  </si>
  <si>
    <t>CUST1294</t>
  </si>
  <si>
    <t>Lakshit Tak</t>
  </si>
  <si>
    <t>CUST1295</t>
  </si>
  <si>
    <t>Ivan Thakkar</t>
  </si>
  <si>
    <t>CUST1296</t>
  </si>
  <si>
    <t>Adah Wali</t>
  </si>
  <si>
    <t>CUST1297</t>
  </si>
  <si>
    <t>Vihaan Warrior</t>
  </si>
  <si>
    <t>CUST1298</t>
  </si>
  <si>
    <t>Ivana Sawhney</t>
  </si>
  <si>
    <t>CUST1299</t>
  </si>
  <si>
    <t>Fateh Sen</t>
  </si>
  <si>
    <t>CUST1300</t>
  </si>
  <si>
    <t>Ayesha Dixit</t>
  </si>
  <si>
    <t>CUST1301</t>
  </si>
  <si>
    <t>Indrajit Choudhry</t>
  </si>
  <si>
    <t>CUST1302</t>
  </si>
  <si>
    <t>Mannat Kashyap</t>
  </si>
  <si>
    <t>CUST1303</t>
  </si>
  <si>
    <t>Gokul Kade</t>
  </si>
  <si>
    <t>CUST1304</t>
  </si>
  <si>
    <t>Kashvi Verma</t>
  </si>
  <si>
    <t>CUST1305</t>
  </si>
  <si>
    <t>Tejas Devan</t>
  </si>
  <si>
    <t>CUST1306</t>
  </si>
  <si>
    <t>Tushar Dua</t>
  </si>
  <si>
    <t>CUST1307</t>
  </si>
  <si>
    <t>Indranil Jaggi</t>
  </si>
  <si>
    <t>CUST1308</t>
  </si>
  <si>
    <t>Nirvaan Sarin</t>
  </si>
  <si>
    <t>CUST1309</t>
  </si>
  <si>
    <t>Mehul Keer</t>
  </si>
  <si>
    <t>CUST1310</t>
  </si>
  <si>
    <t>Nakul Halder</t>
  </si>
  <si>
    <t>CUST1311</t>
  </si>
  <si>
    <t>CUST1312</t>
  </si>
  <si>
    <t>Vidur Garg</t>
  </si>
  <si>
    <t>CUST1313</t>
  </si>
  <si>
    <t>Tarini Kadakia</t>
  </si>
  <si>
    <t>CUST1314</t>
  </si>
  <si>
    <t>Zaina Devan</t>
  </si>
  <si>
    <t>CUST1315</t>
  </si>
  <si>
    <t>Ishita Choudhury</t>
  </si>
  <si>
    <t>CUST1316</t>
  </si>
  <si>
    <t>Zain Buch</t>
  </si>
  <si>
    <t>CUST1317</t>
  </si>
  <si>
    <t>Aradhya Wable</t>
  </si>
  <si>
    <t>CUST1318</t>
  </si>
  <si>
    <t>Kismat Shankar</t>
  </si>
  <si>
    <t>CUST1319</t>
  </si>
  <si>
    <t>Neelofar Magar</t>
  </si>
  <si>
    <t>CUST1320</t>
  </si>
  <si>
    <t>Zoya Anand</t>
  </si>
  <si>
    <t>CUST1321</t>
  </si>
  <si>
    <t>Himmat Sawhney</t>
  </si>
  <si>
    <t>CUST1322</t>
  </si>
  <si>
    <t>Dishani Dada</t>
  </si>
  <si>
    <t>CUST1323</t>
  </si>
  <si>
    <t>Kiaan Kara</t>
  </si>
  <si>
    <t>CUST1324</t>
  </si>
  <si>
    <t>Jivin Kaur</t>
  </si>
  <si>
    <t>CUST1325</t>
  </si>
  <si>
    <t>Ahana  Deo</t>
  </si>
  <si>
    <t>CUST1326</t>
  </si>
  <si>
    <t>Mannat Sha</t>
  </si>
  <si>
    <t>CUST1327</t>
  </si>
  <si>
    <t>Gokul Dash</t>
  </si>
  <si>
    <t>CUST1328</t>
  </si>
  <si>
    <t>Lavanya Wali</t>
  </si>
  <si>
    <t>CUST1329</t>
  </si>
  <si>
    <t>Neysa Kala</t>
  </si>
  <si>
    <t>CUST1330</t>
  </si>
  <si>
    <t>Manjari Cherian</t>
  </si>
  <si>
    <t>CUST1331</t>
  </si>
  <si>
    <t>Navya Ahuja</t>
  </si>
  <si>
    <t>CUST1332</t>
  </si>
  <si>
    <t>Dishani Shankar</t>
  </si>
  <si>
    <t>CUST1333</t>
  </si>
  <si>
    <t>Lakshay Sagar</t>
  </si>
  <si>
    <t>CUST1334</t>
  </si>
  <si>
    <t>Dharmajan Kota</t>
  </si>
  <si>
    <t>CUST1335</t>
  </si>
  <si>
    <t>Kiara Gandhi</t>
  </si>
  <si>
    <t>CUST1336</t>
  </si>
  <si>
    <t>Aayush Loke</t>
  </si>
  <si>
    <t>CUST1337</t>
  </si>
  <si>
    <t>Urvi Sarraf</t>
  </si>
  <si>
    <t>CUST1338</t>
  </si>
  <si>
    <t>CUST1339</t>
  </si>
  <si>
    <t>Ishita Sawhney</t>
  </si>
  <si>
    <t>CUST1340</t>
  </si>
  <si>
    <t>Anahita Chahal</t>
  </si>
  <si>
    <t>CUST1341</t>
  </si>
  <si>
    <t>Akarsh Banik</t>
  </si>
  <si>
    <t>CUST1342</t>
  </si>
  <si>
    <t>Adah Bajwa</t>
  </si>
  <si>
    <t>CUST1343</t>
  </si>
  <si>
    <t>Anika Thakur</t>
  </si>
  <si>
    <t>CUST1344</t>
  </si>
  <si>
    <t>Himmat Gokhale</t>
  </si>
  <si>
    <t>CUST1345</t>
  </si>
  <si>
    <t>Kimaya Mammen</t>
  </si>
  <si>
    <t>CUST1346</t>
  </si>
  <si>
    <t>Zaina Chawla</t>
  </si>
  <si>
    <t>CUST1347</t>
  </si>
  <si>
    <t>Inaaya  Lala</t>
  </si>
  <si>
    <t>CUST1348</t>
  </si>
  <si>
    <t>Romil Zacharia</t>
  </si>
  <si>
    <t>CUST1349</t>
  </si>
  <si>
    <t>Armaan Sarna</t>
  </si>
  <si>
    <t>CUST1350</t>
  </si>
  <si>
    <t>Saksham Sankaran</t>
  </si>
  <si>
    <t>CUST1351</t>
  </si>
  <si>
    <t>Lakshay Shere</t>
  </si>
  <si>
    <t>CUST1352</t>
  </si>
  <si>
    <t>Hridaan Subramaniam</t>
  </si>
  <si>
    <t>CUST1353</t>
  </si>
  <si>
    <t>Priyansh Yadav</t>
  </si>
  <si>
    <t>CUST1354</t>
  </si>
  <si>
    <t>Ojas Tata</t>
  </si>
  <si>
    <t>CUST1355</t>
  </si>
  <si>
    <t>Mohanlal Tella</t>
  </si>
  <si>
    <t>CUST1356</t>
  </si>
  <si>
    <t>Pranay Srivastava</t>
  </si>
  <si>
    <t>CUST1357</t>
  </si>
  <si>
    <t>Lavanya Dar</t>
  </si>
  <si>
    <t>CUST1358</t>
  </si>
  <si>
    <t>Zain Gandhi</t>
  </si>
  <si>
    <t>CUST1359</t>
  </si>
  <si>
    <t>Gokul D’Alia</t>
  </si>
  <si>
    <t>CUST1360</t>
  </si>
  <si>
    <t>Hunar Kunda</t>
  </si>
  <si>
    <t>CUST1361</t>
  </si>
  <si>
    <t>Pranay Sachar</t>
  </si>
  <si>
    <t>CUST1362</t>
  </si>
  <si>
    <t>Yakshit Bail</t>
  </si>
  <si>
    <t>CUST1363</t>
  </si>
  <si>
    <t>Navya Behl</t>
  </si>
  <si>
    <t>CUST1364</t>
  </si>
  <si>
    <t>Hiran Tailor</t>
  </si>
  <si>
    <t>CUST1365</t>
  </si>
  <si>
    <t>Dhanush Shukla</t>
  </si>
  <si>
    <t>CUST1366</t>
  </si>
  <si>
    <t>Hunar Bhargava</t>
  </si>
  <si>
    <t>CUST1367</t>
  </si>
  <si>
    <t>Umang Madan</t>
  </si>
  <si>
    <t>CUST1368</t>
  </si>
  <si>
    <t>Anika Bumb</t>
  </si>
  <si>
    <t>CUST1369</t>
  </si>
  <si>
    <t>Arnav Barman</t>
  </si>
  <si>
    <t>CUST1370</t>
  </si>
  <si>
    <t>Ranbir Boase</t>
  </si>
  <si>
    <t>CUST1371</t>
  </si>
  <si>
    <t>Mishti Barad</t>
  </si>
  <si>
    <t>CUST1372</t>
  </si>
  <si>
    <t>Darshit Batra</t>
  </si>
  <si>
    <t>CUST1373</t>
  </si>
  <si>
    <t>Anya Korpal</t>
  </si>
  <si>
    <t>CUST1374</t>
  </si>
  <si>
    <t>Jivin Vora</t>
  </si>
  <si>
    <t>CUST1375</t>
  </si>
  <si>
    <t>Suhana Kapur</t>
  </si>
  <si>
    <t>CUST1376</t>
  </si>
  <si>
    <t>Jayan Kakar</t>
  </si>
  <si>
    <t>CUST1377</t>
  </si>
  <si>
    <t>Piya Mann</t>
  </si>
  <si>
    <t>CUST1378</t>
  </si>
  <si>
    <t>Krish Bandi</t>
  </si>
  <si>
    <t>CUST1379</t>
  </si>
  <si>
    <t>Yakshit Ray</t>
  </si>
  <si>
    <t>CUST1380</t>
  </si>
  <si>
    <t>Suhana Divan</t>
  </si>
  <si>
    <t>CUST1381</t>
  </si>
  <si>
    <t>Bhamini Dara</t>
  </si>
  <si>
    <t>CUST1382</t>
  </si>
  <si>
    <t>Jiya Banik</t>
  </si>
  <si>
    <t>CUST1383</t>
  </si>
  <si>
    <t>Saanvi Sarraf</t>
  </si>
  <si>
    <t>CUST1384</t>
  </si>
  <si>
    <t>Stuvan Lad</t>
  </si>
  <si>
    <t>CUST1385</t>
  </si>
  <si>
    <t>CUST1386</t>
  </si>
  <si>
    <t>Sahil Dasgupta</t>
  </si>
  <si>
    <t>CUST1387</t>
  </si>
  <si>
    <t>Riaan Venkatesh</t>
  </si>
  <si>
    <t>CUST1388</t>
  </si>
  <si>
    <t>Yakshit Tiwari</t>
  </si>
  <si>
    <t>CUST1389</t>
  </si>
  <si>
    <t>Arnav Mahajan</t>
  </si>
  <si>
    <t>CUST1390</t>
  </si>
  <si>
    <t>Hrishita Dhar</t>
  </si>
  <si>
    <t>CUST1391</t>
  </si>
  <si>
    <t>Zaina Kothari</t>
  </si>
  <si>
    <t>CUST1392</t>
  </si>
  <si>
    <t>Darshit Deshpande</t>
  </si>
  <si>
    <t>CUST1393</t>
  </si>
  <si>
    <t>Rohan Mann</t>
  </si>
  <si>
    <t>CUST1394</t>
  </si>
  <si>
    <t>Jivika Sur</t>
  </si>
  <si>
    <t>CUST1395</t>
  </si>
  <si>
    <t>Saksham Doctor</t>
  </si>
  <si>
    <t>CUST1396</t>
  </si>
  <si>
    <t>Renee Kohli</t>
  </si>
  <si>
    <t>CUST1397</t>
  </si>
  <si>
    <t>Shaan Wason</t>
  </si>
  <si>
    <t>CUST1398</t>
  </si>
  <si>
    <t>Jayant Raman</t>
  </si>
  <si>
    <t>CUST1399</t>
  </si>
  <si>
    <t>Zaina Tandon</t>
  </si>
  <si>
    <t>CUST1400</t>
  </si>
  <si>
    <t>CUST1401</t>
  </si>
  <si>
    <t>Ayesha Chokshi</t>
  </si>
  <si>
    <t>CUST1402</t>
  </si>
  <si>
    <t>Devansh Sachdeva</t>
  </si>
  <si>
    <t>CUST1403</t>
  </si>
  <si>
    <t>Yashvi Sheth</t>
  </si>
  <si>
    <t>CUST1404</t>
  </si>
  <si>
    <t>Rhea Acharya</t>
  </si>
  <si>
    <t>CUST1405</t>
  </si>
  <si>
    <t>Dhruv Saxena</t>
  </si>
  <si>
    <t>CUST1406</t>
  </si>
  <si>
    <t>Oorja Sahni</t>
  </si>
  <si>
    <t>CUST1407</t>
  </si>
  <si>
    <t>Hansh Mall</t>
  </si>
  <si>
    <t>CUST1408</t>
  </si>
  <si>
    <t>Tanya Bhatia</t>
  </si>
  <si>
    <t>CUST1409</t>
  </si>
  <si>
    <t>Tushar Kapur</t>
  </si>
  <si>
    <t>CUST1410</t>
  </si>
  <si>
    <t>Sumer Swaminathan</t>
  </si>
  <si>
    <t>CUST1411</t>
  </si>
  <si>
    <t>Nakul Gala</t>
  </si>
  <si>
    <t>CUST1412</t>
  </si>
  <si>
    <t>Riaan Deol</t>
  </si>
  <si>
    <t>CUST1413</t>
  </si>
  <si>
    <t>Nayantara Datta</t>
  </si>
  <si>
    <t>CUST1414</t>
  </si>
  <si>
    <t>Hrishita Kanda</t>
  </si>
  <si>
    <t>CUST1415</t>
  </si>
  <si>
    <t>Adah Balan</t>
  </si>
  <si>
    <t>CUST1416</t>
  </si>
  <si>
    <t>Shray Barad</t>
  </si>
  <si>
    <t>CUST1417</t>
  </si>
  <si>
    <t>Umang Sarraf</t>
  </si>
  <si>
    <t>CUST1418</t>
  </si>
  <si>
    <t>Madhup Subramanian</t>
  </si>
  <si>
    <t>CUST1419</t>
  </si>
  <si>
    <t>Jayan Shankar</t>
  </si>
  <si>
    <t>CUST1420</t>
  </si>
  <si>
    <t>Damini Borra</t>
  </si>
  <si>
    <t>CUST1421</t>
  </si>
  <si>
    <t>Kabir Bora</t>
  </si>
  <si>
    <t>CUST1422</t>
  </si>
  <si>
    <t>Sana Dasgupta</t>
  </si>
  <si>
    <t>CUST1423</t>
  </si>
  <si>
    <t>Hazel Brar</t>
  </si>
  <si>
    <t>CUST1424</t>
  </si>
  <si>
    <t>Kashvi Ahuja</t>
  </si>
  <si>
    <t>CUST1425</t>
  </si>
  <si>
    <t>Dhruv Master</t>
  </si>
  <si>
    <t>CUST1426</t>
  </si>
  <si>
    <t>Jayesh Kota</t>
  </si>
  <si>
    <t>CUST1427</t>
  </si>
  <si>
    <t>Hazel Kade</t>
  </si>
  <si>
    <t>CUST1428</t>
  </si>
  <si>
    <t>Manikya Saha</t>
  </si>
  <si>
    <t>CUST1429</t>
  </si>
  <si>
    <t>Nakul Kar</t>
  </si>
  <si>
    <t>CUST1430</t>
  </si>
  <si>
    <t>Vaibhav Master</t>
  </si>
  <si>
    <t>CUST1431</t>
  </si>
  <si>
    <t>Adah Borra</t>
  </si>
  <si>
    <t>CUST1432</t>
  </si>
  <si>
    <t>Priyansh Shanker</t>
  </si>
  <si>
    <t>CUST1433</t>
  </si>
  <si>
    <t>Prisha Tata</t>
  </si>
  <si>
    <t>CUST1434</t>
  </si>
  <si>
    <t>Yuvraj  Bhasin</t>
  </si>
  <si>
    <t>CUST1435</t>
  </si>
  <si>
    <t>Divij Jhaveri</t>
  </si>
  <si>
    <t>CUST1436</t>
  </si>
  <si>
    <t>Divit Kala</t>
  </si>
  <si>
    <t>CUST1437</t>
  </si>
  <si>
    <t>Vivaan Reddy</t>
  </si>
  <si>
    <t>CUST1438</t>
  </si>
  <si>
    <t>Dhanush Thaker</t>
  </si>
  <si>
    <t>CUST1439</t>
  </si>
  <si>
    <t>Myra Gandhi</t>
  </si>
  <si>
    <t>CUST1440</t>
  </si>
  <si>
    <t>Aniruddh Mand</t>
  </si>
  <si>
    <t>CUST1441</t>
  </si>
  <si>
    <t>CUST1442</t>
  </si>
  <si>
    <t>Reyansh Kari</t>
  </si>
  <si>
    <t>CUST1443</t>
  </si>
  <si>
    <t>Myra Raman</t>
  </si>
  <si>
    <t>CUST1444</t>
  </si>
  <si>
    <t>Misha Dash</t>
  </si>
  <si>
    <t>CUST1445</t>
  </si>
  <si>
    <t>Yasmin Sabharwal</t>
  </si>
  <si>
    <t>CUST1446</t>
  </si>
  <si>
    <t>Veer Ratta</t>
  </si>
  <si>
    <t>CUST1447</t>
  </si>
  <si>
    <t>Riya Viswanathan</t>
  </si>
  <si>
    <t>CUST1448</t>
  </si>
  <si>
    <t>Vardaniya Ganesan</t>
  </si>
  <si>
    <t>CUST1449</t>
  </si>
  <si>
    <t>Aaryahi Vyas</t>
  </si>
  <si>
    <t>CUST1450</t>
  </si>
  <si>
    <t>Taimur Mann</t>
  </si>
  <si>
    <t>CUST1451</t>
  </si>
  <si>
    <t>Ivana Thaman</t>
  </si>
  <si>
    <t>CUST1452</t>
  </si>
  <si>
    <t>Nirvi Randhawa</t>
  </si>
  <si>
    <t>CUST1453</t>
  </si>
  <si>
    <t>Alisha Apte</t>
  </si>
  <si>
    <t>CUST1454</t>
  </si>
  <si>
    <t>Kashvi Hayre</t>
  </si>
  <si>
    <t>CUST1455</t>
  </si>
  <si>
    <t>Abram Dey</t>
  </si>
  <si>
    <t>CUST1456</t>
  </si>
  <si>
    <t>Anahi Loke</t>
  </si>
  <si>
    <t>CUST1457</t>
  </si>
  <si>
    <t>Prerak Balan</t>
  </si>
  <si>
    <t>CUST1458</t>
  </si>
  <si>
    <t>Nakul Balay</t>
  </si>
  <si>
    <t>CUST1459</t>
  </si>
  <si>
    <t>Indrajit Sarma</t>
  </si>
  <si>
    <t>CUST1460</t>
  </si>
  <si>
    <t>Shamik Jaggi</t>
  </si>
  <si>
    <t>CUST1461</t>
  </si>
  <si>
    <t>Azad Joshi</t>
  </si>
  <si>
    <t>CUST1462</t>
  </si>
  <si>
    <t>Manikya Basak</t>
  </si>
  <si>
    <t>CUST1463</t>
  </si>
  <si>
    <t>Saanvi Babu</t>
  </si>
  <si>
    <t>CUST1464</t>
  </si>
  <si>
    <t>Samarth Soman</t>
  </si>
  <si>
    <t>CUST1465</t>
  </si>
  <si>
    <t>Bhavin Lad</t>
  </si>
  <si>
    <t>CUST1466</t>
  </si>
  <si>
    <t>Kavya Bava</t>
  </si>
  <si>
    <t>CUST1467</t>
  </si>
  <si>
    <t>Yashvi Kadakia</t>
  </si>
  <si>
    <t>CUST1468</t>
  </si>
  <si>
    <t>CUST1469</t>
  </si>
  <si>
    <t>Raghav Wagle</t>
  </si>
  <si>
    <t>CUST1470</t>
  </si>
  <si>
    <t>Ishaan Karnik</t>
  </si>
  <si>
    <t>CUST1471</t>
  </si>
  <si>
    <t>Hansh Verma</t>
  </si>
  <si>
    <t>CUST1472</t>
  </si>
  <si>
    <t>Krish Deep</t>
  </si>
  <si>
    <t>CUST1473</t>
  </si>
  <si>
    <t>Advik Raval</t>
  </si>
  <si>
    <t>CUST1474</t>
  </si>
  <si>
    <t>Shamik Sama</t>
  </si>
  <si>
    <t>CUST1475</t>
  </si>
  <si>
    <t>Zara Bera</t>
  </si>
  <si>
    <t>CUST1476</t>
  </si>
  <si>
    <t>Inaaya  Gara</t>
  </si>
  <si>
    <t>CUST1477</t>
  </si>
  <si>
    <t>Shalv Chaudry</t>
  </si>
  <si>
    <t>CUST1478</t>
  </si>
  <si>
    <t>Nishith Sheth</t>
  </si>
  <si>
    <t>CUST1479</t>
  </si>
  <si>
    <t>Mishti Mammen</t>
  </si>
  <si>
    <t>CUST1480</t>
  </si>
  <si>
    <t>Aarav Shanker</t>
  </si>
  <si>
    <t>CUST1481</t>
  </si>
  <si>
    <t>Neelofar Madan</t>
  </si>
  <si>
    <t>CUST1482</t>
  </si>
  <si>
    <t>Navya Ramanathan</t>
  </si>
  <si>
    <t>CUST1483</t>
  </si>
  <si>
    <t>Saanvi Randhawa</t>
  </si>
  <si>
    <t>CUST1484</t>
  </si>
  <si>
    <t>Darshit Thakur</t>
  </si>
  <si>
    <t>CUST1485</t>
  </si>
  <si>
    <t>Zaina Sami</t>
  </si>
  <si>
    <t>CUST1486</t>
  </si>
  <si>
    <t>Akarsh Savant</t>
  </si>
  <si>
    <t>CUST1487</t>
  </si>
  <si>
    <t>Renee Halder</t>
  </si>
  <si>
    <t>CUST1488</t>
  </si>
  <si>
    <t>Lavanya Sastry</t>
  </si>
  <si>
    <t>CUST1489</t>
  </si>
  <si>
    <t>Taran Shah</t>
  </si>
  <si>
    <t>CUST1490</t>
  </si>
  <si>
    <t>Dhruv Saini</t>
  </si>
  <si>
    <t>CUST1491</t>
  </si>
  <si>
    <t>Bhavin Bali</t>
  </si>
  <si>
    <t>CUST1492</t>
  </si>
  <si>
    <t>Raunak Toor</t>
  </si>
  <si>
    <t>CUST1493</t>
  </si>
  <si>
    <t>Darshit Sarna</t>
  </si>
  <si>
    <t>CUST1494</t>
  </si>
  <si>
    <t>Vaibhav Vohra</t>
  </si>
  <si>
    <t>CUST1495</t>
  </si>
  <si>
    <t>Aaryahi Iyer</t>
  </si>
  <si>
    <t>CUST1496</t>
  </si>
  <si>
    <t>Kiara Doctor</t>
  </si>
  <si>
    <t>CUST1497</t>
  </si>
  <si>
    <t>Zain Rastogi</t>
  </si>
  <si>
    <t>CUST1498</t>
  </si>
  <si>
    <t>Neelofar Vaidya</t>
  </si>
  <si>
    <t>CUST1499</t>
  </si>
  <si>
    <t>Neysa Dutt</t>
  </si>
  <si>
    <t>CUST1500</t>
  </si>
  <si>
    <t>Nayantara Dara</t>
  </si>
  <si>
    <t xml:space="preserve">Customer Banking System </t>
  </si>
  <si>
    <t>Row Labels</t>
  </si>
  <si>
    <t>Grand Total</t>
  </si>
  <si>
    <t>Count of Gender</t>
  </si>
  <si>
    <t>Count of City</t>
  </si>
  <si>
    <t>Count of Account Type</t>
  </si>
  <si>
    <t>Count of Internet Banking (Yes/No)</t>
  </si>
  <si>
    <t>Count of Transaction Count</t>
  </si>
  <si>
    <t>Sum of Loan Amount</t>
  </si>
  <si>
    <t>TOTAL CUSTOMER</t>
  </si>
  <si>
    <t>ACCOUNT BALANCE</t>
  </si>
  <si>
    <t>TOTAL LOAN AMOUNT</t>
  </si>
  <si>
    <t>AVERAGE CREDIT SCORE</t>
  </si>
  <si>
    <t>TOTAL TRANSACTION</t>
  </si>
  <si>
    <t>Average of Customer Satisfaction Rating</t>
  </si>
  <si>
    <t>Count of Card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</si>
</sst>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 &quot;₹&quot;\ * #,##0.00_ ;_ &quot;₹&quot;\ * \-#,##0.00_ ;_ &quot;₹&quot;\ * &quot;-&quot;??_ ;_ @_ "/>
    <numFmt numFmtId="164" formatCode="&quot;₹&quot;\ #,##0.00"/>
  </numFmts>
  <fonts count="4" x14ac:knownFonts="1">
    <font>
      <sz val="11"/>
      <color theme="1"/>
      <name val="Calibri"/>
      <family val="2"/>
      <scheme val="minor"/>
    </font>
    <font>
      <sz val="28"/>
      <color theme="1"/>
      <name val="Calibri"/>
      <family val="2"/>
      <scheme val="minor"/>
    </font>
    <font>
      <sz val="28"/>
      <color theme="6" tint="-0.499984740745262"/>
      <name val="Calibri"/>
      <family val="2"/>
      <scheme val="minor"/>
    </font>
    <font>
      <sz val="11"/>
      <color theme="3" tint="-0.499984740745262"/>
      <name val="Calibri"/>
      <family val="2"/>
      <scheme val="minor"/>
    </font>
  </fonts>
  <fills count="3">
    <fill>
      <patternFill patternType="none"/>
    </fill>
    <fill>
      <patternFill patternType="gray125"/>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8">
    <xf numFmtId="0" fontId="0" fillId="0" borderId="0" xfId="0"/>
    <xf numFmtId="0" fontId="0" fillId="0" borderId="1" xfId="0" applyBorder="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0" fontId="3" fillId="0" borderId="1" xfId="0" applyFont="1" applyBorder="1"/>
    <xf numFmtId="0" fontId="0" fillId="0" borderId="1" xfId="0" applyBorder="1" applyAlignment="1">
      <alignment horizontal="center"/>
    </xf>
    <xf numFmtId="44" fontId="0" fillId="0" borderId="0" xfId="0" applyNumberFormat="1" applyAlignment="1">
      <alignment horizontal="center"/>
    </xf>
    <xf numFmtId="164" fontId="0" fillId="0" borderId="1" xfId="0" applyNumberFormat="1" applyBorder="1"/>
    <xf numFmtId="0" fontId="0" fillId="0" borderId="2" xfId="0" applyBorder="1"/>
    <xf numFmtId="0" fontId="0" fillId="0" borderId="3" xfId="0" applyBorder="1"/>
    <xf numFmtId="164" fontId="0" fillId="0" borderId="3" xfId="0" applyNumberFormat="1" applyBorder="1"/>
    <xf numFmtId="0" fontId="0" fillId="0" borderId="4" xfId="0" applyBorder="1"/>
    <xf numFmtId="2" fontId="0" fillId="0" borderId="1" xfId="0" applyNumberFormat="1" applyBorder="1" applyAlignment="1">
      <alignment horizontal="center"/>
    </xf>
    <xf numFmtId="44" fontId="0" fillId="0" borderId="0" xfId="0" applyNumberFormat="1"/>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xf>
  </cellXfs>
  <cellStyles count="1">
    <cellStyle name="Normal" xfId="0" builtinId="0"/>
  </cellStyles>
  <dxfs count="38">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style="thin">
          <color indexed="64"/>
        </bottom>
      </border>
    </dxf>
    <dxf>
      <numFmt numFmtId="164" formatCode="&quot;₹&quot;\ #,##0.00"/>
      <border diagonalUp="0" diagonalDown="0" outline="0">
        <left style="thin">
          <color indexed="64"/>
        </left>
        <right style="thin">
          <color indexed="64"/>
        </right>
        <top style="thin">
          <color indexed="64"/>
        </top>
        <bottom/>
      </border>
    </dxf>
    <dxf>
      <numFmt numFmtId="164" formatCode="&quot;₹&quot;\ #,##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numFmt numFmtId="34" formatCode="_ &quot;₹&quot;\ * #,##0.00_ ;_ &quot;₹&quot;\ * \-#,##0.00_ ;_ &quot;₹&quot;\ * &quot;-&quot;??_ ;_ @_ "/>
    </dxf>
    <dxf>
      <numFmt numFmtId="165" formatCode="_ [$₹-4009]\ * #,##0.00_ ;_ [$₹-4009]\ * \-#,##0.00_ ;_ [$₹-4009]\ * &quot;-&quot;??_ ;_ @_ "/>
    </dxf>
    <dxf>
      <numFmt numFmtId="34" formatCode="_ &quot;₹&quot;\ * #,##0.00_ ;_ &quot;₹&quot;\ * \-#,##0.00_ ;_ &quot;₹&quot;\ * &quot;-&quot;??_ ;_ @_ "/>
    </dxf>
    <dxf>
      <numFmt numFmtId="165" formatCode="_ [$₹-4009]\ * #,##0.00_ ;_ [$₹-4009]\ * \-#,##0.00_ ;_ [$₹-4009]\ * &quot;-&quot;??_ ;_ @_ "/>
    </dxf>
    <dxf>
      <numFmt numFmtId="13" formatCode="0%"/>
    </dxf>
    <dxf>
      <numFmt numFmtId="166" formatCode="0.0%"/>
    </dxf>
    <dxf>
      <numFmt numFmtId="13" formatCode="0%"/>
    </dxf>
    <dxf>
      <numFmt numFmtId="166" formatCode="0.0%"/>
    </dxf>
    <dxf>
      <font>
        <color rgb="FF9C6500"/>
      </font>
      <fill>
        <patternFill>
          <bgColor rgb="FFFFEB9C"/>
        </patternFill>
      </fill>
    </dxf>
  </dxfs>
  <tableStyles count="0" defaultTableStyle="TableStyleMedium9" defaultPivotStyle="PivotStyleLight16"/>
  <colors>
    <mruColors>
      <color rgb="FFEB21B1"/>
      <color rgb="FFD735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Banking System.xlsx]pivot!gender</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Customer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B21B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0"/>
        <c:ser>
          <c:idx val="0"/>
          <c:order val="0"/>
          <c:tx>
            <c:strRef>
              <c:f>pivot!$B$3</c:f>
              <c:strCache>
                <c:ptCount val="1"/>
                <c:pt idx="0">
                  <c:v>Total</c:v>
                </c:pt>
              </c:strCache>
            </c:strRef>
          </c:tx>
          <c:spPr>
            <a:solidFill>
              <a:schemeClr val="accent1"/>
            </a:solidFill>
            <a:ln w="19050">
              <a:solidFill>
                <a:schemeClr val="lt1"/>
              </a:solidFill>
            </a:ln>
            <a:effectLst/>
          </c:spPr>
          <c:dPt>
            <c:idx val="0"/>
            <c:bubble3D val="0"/>
            <c:spPr>
              <a:solidFill>
                <a:srgbClr val="EB21B1"/>
              </a:solidFill>
              <a:ln w="19050">
                <a:solidFill>
                  <a:schemeClr val="lt1"/>
                </a:solidFill>
              </a:ln>
              <a:effectLst/>
            </c:spPr>
            <c:extLst>
              <c:ext xmlns:c16="http://schemas.microsoft.com/office/drawing/2014/chart" uri="{C3380CC4-5D6E-409C-BE32-E72D297353CC}">
                <c16:uniqueId val="{00000001-9180-4655-9456-EBC4F4AFAA5D}"/>
              </c:ext>
            </c:extLst>
          </c:dPt>
          <c:dPt>
            <c:idx val="1"/>
            <c:bubble3D val="0"/>
            <c:extLst>
              <c:ext xmlns:c16="http://schemas.microsoft.com/office/drawing/2014/chart" uri="{C3380CC4-5D6E-409C-BE32-E72D297353CC}">
                <c16:uniqueId val="{00000002-9180-4655-9456-EBC4F4AFAA5D}"/>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80-4655-9456-EBC4F4AFAA5D}"/>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180-4655-9456-EBC4F4AFAA5D}"/>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pivot!$A$4:$A$6</c:f>
              <c:strCache>
                <c:ptCount val="2"/>
                <c:pt idx="0">
                  <c:v>Female</c:v>
                </c:pt>
                <c:pt idx="1">
                  <c:v>Male</c:v>
                </c:pt>
              </c:strCache>
            </c:strRef>
          </c:cat>
          <c:val>
            <c:numRef>
              <c:f>pivot!$B$4:$B$6</c:f>
              <c:numCache>
                <c:formatCode>General</c:formatCode>
                <c:ptCount val="2"/>
                <c:pt idx="0">
                  <c:v>796</c:v>
                </c:pt>
                <c:pt idx="1">
                  <c:v>704</c:v>
                </c:pt>
              </c:numCache>
            </c:numRef>
          </c:val>
          <c:extLst>
            <c:ext xmlns:c16="http://schemas.microsoft.com/office/drawing/2014/chart" uri="{C3380CC4-5D6E-409C-BE32-E72D297353CC}">
              <c16:uniqueId val="{00000000-9180-4655-9456-EBC4F4AFAA5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Banking System.xlsx]pivot!city</c:name>
    <c:fmtId val="10"/>
  </c:pivotSource>
  <c:chart>
    <c:autoTitleDeleted val="1"/>
    <c:pivotFmts>
      <c:pivotFmt>
        <c:idx val="0"/>
        <c:spPr>
          <a:solidFill>
            <a:schemeClr val="accent1"/>
          </a:solidFill>
          <a:ln>
            <a:noFill/>
          </a:ln>
          <a:effectLst/>
        </c:spPr>
        <c:marker>
          <c:symbol val="none"/>
        </c:marker>
      </c:pivotFmt>
      <c:pivotFmt>
        <c:idx val="1"/>
        <c:spPr>
          <a:gradFill>
            <a:gsLst>
              <a:gs pos="0">
                <a:schemeClr val="accent3">
                  <a:lumMod val="75000"/>
                </a:schemeClr>
              </a:gs>
              <a:gs pos="100000">
                <a:schemeClr val="accent3">
                  <a:lumMod val="50000"/>
                </a:schemeClr>
              </a:gs>
              <a:gs pos="100000">
                <a:schemeClr val="accent1">
                  <a:lumMod val="45000"/>
                  <a:lumOff val="55000"/>
                </a:schemeClr>
              </a:gs>
              <a:gs pos="50000">
                <a:schemeClr val="accent3">
                  <a:lumMod val="60000"/>
                  <a:lumOff val="40000"/>
                </a:schemeClr>
              </a:gs>
              <a:gs pos="100000">
                <a:schemeClr val="accent3">
                  <a:lumMod val="20000"/>
                  <a:lumOff val="80000"/>
                </a:schemeClr>
              </a:gs>
            </a:gsLst>
            <a:lin ang="5400000" scaled="1"/>
          </a:gradFill>
          <a:ln>
            <a:gradFill>
              <a:gsLst>
                <a:gs pos="0">
                  <a:schemeClr val="accent3">
                    <a:lumMod val="40000"/>
                    <a:lumOff val="60000"/>
                    <a:alpha val="74000"/>
                  </a:schemeClr>
                </a:gs>
                <a:gs pos="100000">
                  <a:schemeClr val="accent3">
                    <a:lumMod val="50000"/>
                  </a:schemeClr>
                </a:gs>
                <a:gs pos="100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3">
                  <a:lumMod val="40000"/>
                  <a:lumOff val="60000"/>
                  <a:alpha val="74000"/>
                </a:schemeClr>
              </a:gs>
              <a:gs pos="100000">
                <a:schemeClr val="accent3">
                  <a:lumMod val="50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Total</c:v>
                </c:pt>
              </c:strCache>
            </c:strRef>
          </c:tx>
          <c:spPr>
            <a:gradFill>
              <a:gsLst>
                <a:gs pos="0">
                  <a:schemeClr val="accent3">
                    <a:lumMod val="40000"/>
                    <a:lumOff val="60000"/>
                    <a:alpha val="74000"/>
                  </a:schemeClr>
                </a:gs>
                <a:gs pos="100000">
                  <a:schemeClr val="accent3">
                    <a:lumMod val="50000"/>
                  </a:schemeClr>
                </a:gs>
                <a:gs pos="100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pivot!$D$4:$D$12</c:f>
              <c:strCache>
                <c:ptCount val="8"/>
                <c:pt idx="0">
                  <c:v>Ahmedabad</c:v>
                </c:pt>
                <c:pt idx="1">
                  <c:v>Bangalore</c:v>
                </c:pt>
                <c:pt idx="2">
                  <c:v>Chennai</c:v>
                </c:pt>
                <c:pt idx="3">
                  <c:v>Delhi</c:v>
                </c:pt>
                <c:pt idx="4">
                  <c:v>Hyderabad</c:v>
                </c:pt>
                <c:pt idx="5">
                  <c:v>Kolkata</c:v>
                </c:pt>
                <c:pt idx="6">
                  <c:v>Mumbai</c:v>
                </c:pt>
                <c:pt idx="7">
                  <c:v>Pune</c:v>
                </c:pt>
              </c:strCache>
            </c:strRef>
          </c:cat>
          <c:val>
            <c:numRef>
              <c:f>pivot!$E$4:$E$12</c:f>
              <c:numCache>
                <c:formatCode>General</c:formatCode>
                <c:ptCount val="8"/>
                <c:pt idx="0">
                  <c:v>203</c:v>
                </c:pt>
                <c:pt idx="1">
                  <c:v>179</c:v>
                </c:pt>
                <c:pt idx="2">
                  <c:v>184</c:v>
                </c:pt>
                <c:pt idx="3">
                  <c:v>177</c:v>
                </c:pt>
                <c:pt idx="4">
                  <c:v>181</c:v>
                </c:pt>
                <c:pt idx="5">
                  <c:v>197</c:v>
                </c:pt>
                <c:pt idx="6">
                  <c:v>180</c:v>
                </c:pt>
                <c:pt idx="7">
                  <c:v>199</c:v>
                </c:pt>
              </c:numCache>
            </c:numRef>
          </c:val>
          <c:extLst>
            <c:ext xmlns:c16="http://schemas.microsoft.com/office/drawing/2014/chart" uri="{C3380CC4-5D6E-409C-BE32-E72D297353CC}">
              <c16:uniqueId val="{00000000-0711-4863-AB1D-28BE13FD9CE5}"/>
            </c:ext>
          </c:extLst>
        </c:ser>
        <c:dLbls>
          <c:showLegendKey val="0"/>
          <c:showVal val="0"/>
          <c:showCatName val="0"/>
          <c:showSerName val="0"/>
          <c:showPercent val="0"/>
          <c:showBubbleSize val="0"/>
        </c:dLbls>
        <c:gapWidth val="219"/>
        <c:overlap val="-27"/>
        <c:axId val="233657728"/>
        <c:axId val="233658144"/>
      </c:barChart>
      <c:catAx>
        <c:axId val="23365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3658144"/>
        <c:crosses val="autoZero"/>
        <c:auto val="1"/>
        <c:lblAlgn val="ctr"/>
        <c:lblOffset val="100"/>
        <c:noMultiLvlLbl val="0"/>
      </c:catAx>
      <c:valAx>
        <c:axId val="233658144"/>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233657728"/>
        <c:crosses val="autoZero"/>
        <c:crossBetween val="between"/>
      </c:valAx>
      <c:spPr>
        <a:noFill/>
        <a:ln>
          <a:noFill/>
        </a:ln>
        <a:effectLst/>
      </c:spPr>
    </c:plotArea>
    <c:plotVisOnly val="1"/>
    <c:dispBlanksAs val="gap"/>
    <c:showDLblsOverMax val="0"/>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Banking System.xlsx]pivot!internet banking</c:name>
    <c:fmtId val="15"/>
  </c:pivotSource>
  <c:chart>
    <c:autoTitleDeleted val="1"/>
    <c:pivotFmts>
      <c:pivotFmt>
        <c:idx val="0"/>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s>
    <c:plotArea>
      <c:layout/>
      <c:pieChart>
        <c:varyColors val="1"/>
        <c:ser>
          <c:idx val="0"/>
          <c:order val="0"/>
          <c:tx>
            <c:strRef>
              <c:f>pivot!$J$12</c:f>
              <c:strCache>
                <c:ptCount val="1"/>
                <c:pt idx="0">
                  <c:v>Total</c:v>
                </c:pt>
              </c:strCache>
            </c:strRef>
          </c:tx>
          <c:spPr>
            <a:solidFill>
              <a:schemeClr val="accent4">
                <a:lumMod val="50000"/>
              </a:schemeClr>
            </a:solidFill>
          </c:spPr>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32B0-41AC-B8C8-47CEF146016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2-32B0-41AC-B8C8-47CEF14601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pivot!$I$13:$I$15</c:f>
              <c:strCache>
                <c:ptCount val="2"/>
                <c:pt idx="0">
                  <c:v>No</c:v>
                </c:pt>
                <c:pt idx="1">
                  <c:v>Yes</c:v>
                </c:pt>
              </c:strCache>
            </c:strRef>
          </c:cat>
          <c:val>
            <c:numRef>
              <c:f>pivot!$J$13:$J$15</c:f>
              <c:numCache>
                <c:formatCode>0%</c:formatCode>
                <c:ptCount val="2"/>
                <c:pt idx="0">
                  <c:v>0.48133333333333334</c:v>
                </c:pt>
                <c:pt idx="1">
                  <c:v>0.51866666666666672</c:v>
                </c:pt>
              </c:numCache>
            </c:numRef>
          </c:val>
          <c:extLst>
            <c:ext xmlns:c16="http://schemas.microsoft.com/office/drawing/2014/chart" uri="{C3380CC4-5D6E-409C-BE32-E72D297353CC}">
              <c16:uniqueId val="{00000000-32B0-41AC-B8C8-47CEF146016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Banking System.xlsx]pivot!transaction </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4">
                  <a:lumMod val="50000"/>
                </a:schemeClr>
              </a:gs>
              <a:gs pos="100000">
                <a:schemeClr val="accent1">
                  <a:lumMod val="45000"/>
                  <a:lumOff val="55000"/>
                </a:schemeClr>
              </a:gs>
              <a:gs pos="33000">
                <a:schemeClr val="accent4">
                  <a:lumMod val="60000"/>
                  <a:lumOff val="40000"/>
                </a:schemeClr>
              </a:gs>
              <a:gs pos="100000">
                <a:schemeClr val="accent4">
                  <a:lumMod val="5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gradFill>
              <a:gsLst>
                <a:gs pos="100000">
                  <a:schemeClr val="accent4">
                    <a:lumMod val="50000"/>
                  </a:schemeClr>
                </a:gs>
                <a:gs pos="100000">
                  <a:schemeClr val="accent1">
                    <a:lumMod val="45000"/>
                    <a:lumOff val="55000"/>
                  </a:schemeClr>
                </a:gs>
                <a:gs pos="33000">
                  <a:schemeClr val="accent4">
                    <a:lumMod val="60000"/>
                    <a:lumOff val="40000"/>
                  </a:schemeClr>
                </a:gs>
                <a:gs pos="100000">
                  <a:schemeClr val="accent4">
                    <a:lumMod val="50000"/>
                  </a:schemeClr>
                </a:gs>
              </a:gsLst>
              <a:lin ang="5400000" scaled="1"/>
            </a:gra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pivot!$G$4:$G$8</c:f>
              <c:strCache>
                <c:ptCount val="4"/>
                <c:pt idx="0">
                  <c:v>MasterCard</c:v>
                </c:pt>
                <c:pt idx="1">
                  <c:v>American Express</c:v>
                </c:pt>
                <c:pt idx="2">
                  <c:v>Visa</c:v>
                </c:pt>
                <c:pt idx="3">
                  <c:v>RuPay</c:v>
                </c:pt>
              </c:strCache>
            </c:strRef>
          </c:cat>
          <c:val>
            <c:numRef>
              <c:f>pivot!$H$4:$H$8</c:f>
              <c:numCache>
                <c:formatCode>General</c:formatCode>
                <c:ptCount val="4"/>
                <c:pt idx="0">
                  <c:v>390</c:v>
                </c:pt>
                <c:pt idx="1">
                  <c:v>381</c:v>
                </c:pt>
                <c:pt idx="2">
                  <c:v>380</c:v>
                </c:pt>
                <c:pt idx="3">
                  <c:v>349</c:v>
                </c:pt>
              </c:numCache>
            </c:numRef>
          </c:val>
          <c:extLst>
            <c:ext xmlns:c16="http://schemas.microsoft.com/office/drawing/2014/chart" uri="{C3380CC4-5D6E-409C-BE32-E72D297353CC}">
              <c16:uniqueId val="{00000000-F9C9-455D-94E8-9F523E2A5772}"/>
            </c:ext>
          </c:extLst>
        </c:ser>
        <c:dLbls>
          <c:showLegendKey val="0"/>
          <c:showVal val="0"/>
          <c:showCatName val="0"/>
          <c:showSerName val="0"/>
          <c:showPercent val="0"/>
          <c:showBubbleSize val="0"/>
        </c:dLbls>
        <c:gapWidth val="150"/>
        <c:axId val="847638032"/>
        <c:axId val="847645104"/>
      </c:barChart>
      <c:catAx>
        <c:axId val="847638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7645104"/>
        <c:crosses val="autoZero"/>
        <c:auto val="1"/>
        <c:lblAlgn val="ctr"/>
        <c:lblOffset val="100"/>
        <c:noMultiLvlLbl val="0"/>
      </c:catAx>
      <c:valAx>
        <c:axId val="84764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7638032"/>
        <c:crosses val="autoZero"/>
        <c:crossBetween val="between"/>
      </c:valAx>
      <c:spPr>
        <a:noFill/>
        <a:ln>
          <a:noFill/>
        </a:ln>
        <a:effectLst/>
      </c:spPr>
    </c:plotArea>
    <c:plotVisOnly val="1"/>
    <c:dispBlanksAs val="gap"/>
    <c:showDLblsOverMax val="0"/>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Banking System.xlsx]pivot!account type</c:name>
    <c:fmtId val="7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Account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D3-496B-B5D9-20C0D08741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D3-496B-B5D9-20C0D08741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D3-496B-B5D9-20C0D08741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D3-496B-B5D9-20C0D087412E}"/>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pivot!$J$3:$J$7</c:f>
              <c:strCache>
                <c:ptCount val="4"/>
                <c:pt idx="0">
                  <c:v>Current</c:v>
                </c:pt>
                <c:pt idx="1">
                  <c:v>Fixed Deposit</c:v>
                </c:pt>
                <c:pt idx="2">
                  <c:v>Salary</c:v>
                </c:pt>
                <c:pt idx="3">
                  <c:v>Savings</c:v>
                </c:pt>
              </c:strCache>
            </c:strRef>
          </c:cat>
          <c:val>
            <c:numRef>
              <c:f>pivot!$K$3:$K$7</c:f>
              <c:numCache>
                <c:formatCode>0%</c:formatCode>
                <c:ptCount val="4"/>
                <c:pt idx="0">
                  <c:v>0.26133333333333331</c:v>
                </c:pt>
                <c:pt idx="1">
                  <c:v>0.24266666666666667</c:v>
                </c:pt>
                <c:pt idx="2">
                  <c:v>0.25466666666666665</c:v>
                </c:pt>
                <c:pt idx="3">
                  <c:v>0.24133333333333334</c:v>
                </c:pt>
              </c:numCache>
            </c:numRef>
          </c:val>
          <c:extLst>
            <c:ext xmlns:c16="http://schemas.microsoft.com/office/drawing/2014/chart" uri="{C3380CC4-5D6E-409C-BE32-E72D297353CC}">
              <c16:uniqueId val="{00000000-7234-4850-8546-43BC193C69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 Banking System.xlsx]pivot!satisfaction</c:name>
    <c:fmtId val="52"/>
  </c:pivotSource>
  <c:chart>
    <c:autoTitleDeleted val="1"/>
    <c:pivotFmts>
      <c:pivotFmt>
        <c:idx val="0"/>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pivot!$Q$3:$Q$11</c:f>
              <c:strCache>
                <c:ptCount val="8"/>
                <c:pt idx="0">
                  <c:v>Ahmedabad</c:v>
                </c:pt>
                <c:pt idx="1">
                  <c:v>Bangalore</c:v>
                </c:pt>
                <c:pt idx="2">
                  <c:v>Chennai</c:v>
                </c:pt>
                <c:pt idx="3">
                  <c:v>Delhi</c:v>
                </c:pt>
                <c:pt idx="4">
                  <c:v>Hyderabad</c:v>
                </c:pt>
                <c:pt idx="5">
                  <c:v>Kolkata</c:v>
                </c:pt>
                <c:pt idx="6">
                  <c:v>Mumbai</c:v>
                </c:pt>
                <c:pt idx="7">
                  <c:v>Pune</c:v>
                </c:pt>
              </c:strCache>
            </c:strRef>
          </c:cat>
          <c:val>
            <c:numRef>
              <c:f>pivot!$R$3:$R$11</c:f>
              <c:numCache>
                <c:formatCode>_("₹"* #,##0.00_);_("₹"* \(#,##0.00\);_("₹"* "-"??_);_(@_)</c:formatCode>
                <c:ptCount val="8"/>
                <c:pt idx="0">
                  <c:v>3.0359605911330054</c:v>
                </c:pt>
                <c:pt idx="1">
                  <c:v>3.0631284916201134</c:v>
                </c:pt>
                <c:pt idx="2">
                  <c:v>3.1527173913043494</c:v>
                </c:pt>
                <c:pt idx="3">
                  <c:v>2.9723163841807905</c:v>
                </c:pt>
                <c:pt idx="4">
                  <c:v>2.9303867403314912</c:v>
                </c:pt>
                <c:pt idx="5">
                  <c:v>2.8837563451776651</c:v>
                </c:pt>
                <c:pt idx="6">
                  <c:v>3.050555555555555</c:v>
                </c:pt>
                <c:pt idx="7">
                  <c:v>3.0552763819095499</c:v>
                </c:pt>
              </c:numCache>
            </c:numRef>
          </c:val>
          <c:smooth val="0"/>
          <c:extLst>
            <c:ext xmlns:c16="http://schemas.microsoft.com/office/drawing/2014/chart" uri="{C3380CC4-5D6E-409C-BE32-E72D297353CC}">
              <c16:uniqueId val="{00000000-1C4C-4CB7-B4C2-CAB89ABCF8F5}"/>
            </c:ext>
          </c:extLst>
        </c:ser>
        <c:dLbls>
          <c:showLegendKey val="0"/>
          <c:showVal val="0"/>
          <c:showCatName val="0"/>
          <c:showSerName val="0"/>
          <c:showPercent val="0"/>
          <c:showBubbleSize val="0"/>
        </c:dLbls>
        <c:marker val="1"/>
        <c:smooth val="0"/>
        <c:axId val="433342415"/>
        <c:axId val="433345327"/>
      </c:lineChart>
      <c:catAx>
        <c:axId val="43334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345327"/>
        <c:crosses val="autoZero"/>
        <c:auto val="1"/>
        <c:lblAlgn val="ctr"/>
        <c:lblOffset val="100"/>
        <c:noMultiLvlLbl val="0"/>
      </c:catAx>
      <c:valAx>
        <c:axId val="433345327"/>
        <c:scaling>
          <c:orientation val="minMax"/>
        </c:scaling>
        <c:delete val="0"/>
        <c:axPos val="l"/>
        <c:majorGridlines>
          <c:spPr>
            <a:ln w="9525" cap="flat" cmpd="sng" algn="ctr">
              <a:no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342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Banking System.xlsx]pivot!gender</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Customer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EB21B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EB21B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B21B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0"/>
        <c:ser>
          <c:idx val="0"/>
          <c:order val="0"/>
          <c:tx>
            <c:strRef>
              <c:f>pivot!$B$3</c:f>
              <c:strCache>
                <c:ptCount val="1"/>
                <c:pt idx="0">
                  <c:v>Total</c:v>
                </c:pt>
              </c:strCache>
            </c:strRef>
          </c:tx>
          <c:spPr>
            <a:solidFill>
              <a:schemeClr val="accent1"/>
            </a:solidFill>
            <a:ln w="19050">
              <a:solidFill>
                <a:schemeClr val="lt1"/>
              </a:solidFill>
            </a:ln>
            <a:effectLst/>
          </c:spPr>
          <c:dPt>
            <c:idx val="0"/>
            <c:bubble3D val="0"/>
            <c:spPr>
              <a:solidFill>
                <a:srgbClr val="EB21B1"/>
              </a:solidFill>
              <a:ln w="19050">
                <a:solidFill>
                  <a:schemeClr val="lt1"/>
                </a:solidFill>
              </a:ln>
              <a:effectLst/>
            </c:spPr>
            <c:extLst>
              <c:ext xmlns:c16="http://schemas.microsoft.com/office/drawing/2014/chart" uri="{C3380CC4-5D6E-409C-BE32-E72D297353CC}">
                <c16:uniqueId val="{00000001-808A-4EFA-A896-77DA7D50F4AE}"/>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808A-4EFA-A896-77DA7D50F4AE}"/>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8A-4EFA-A896-77DA7D50F4AE}"/>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08A-4EFA-A896-77DA7D50F4AE}"/>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pivot!$A$4:$A$6</c:f>
              <c:strCache>
                <c:ptCount val="2"/>
                <c:pt idx="0">
                  <c:v>Female</c:v>
                </c:pt>
                <c:pt idx="1">
                  <c:v>Male</c:v>
                </c:pt>
              </c:strCache>
            </c:strRef>
          </c:cat>
          <c:val>
            <c:numRef>
              <c:f>pivot!$B$4:$B$6</c:f>
              <c:numCache>
                <c:formatCode>General</c:formatCode>
                <c:ptCount val="2"/>
                <c:pt idx="0">
                  <c:v>796</c:v>
                </c:pt>
                <c:pt idx="1">
                  <c:v>704</c:v>
                </c:pt>
              </c:numCache>
            </c:numRef>
          </c:val>
          <c:extLst>
            <c:ext xmlns:c16="http://schemas.microsoft.com/office/drawing/2014/chart" uri="{C3380CC4-5D6E-409C-BE32-E72D297353CC}">
              <c16:uniqueId val="{00000004-808A-4EFA-A896-77DA7D50F4A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Banking System.xlsx]pivot!city</c:name>
    <c:fmtId val="13"/>
  </c:pivotSource>
  <c:chart>
    <c:autoTitleDeleted val="1"/>
    <c:pivotFmts>
      <c:pivotFmt>
        <c:idx val="0"/>
        <c:spPr>
          <a:solidFill>
            <a:schemeClr val="accent1"/>
          </a:solidFill>
          <a:ln>
            <a:noFill/>
          </a:ln>
          <a:effectLst/>
        </c:spPr>
        <c:marker>
          <c:symbol val="none"/>
        </c:marker>
      </c:pivotFmt>
      <c:pivotFmt>
        <c:idx val="1"/>
        <c:spPr>
          <a:gradFill>
            <a:gsLst>
              <a:gs pos="0">
                <a:schemeClr val="accent3">
                  <a:lumMod val="75000"/>
                </a:schemeClr>
              </a:gs>
              <a:gs pos="100000">
                <a:schemeClr val="accent3">
                  <a:lumMod val="50000"/>
                </a:schemeClr>
              </a:gs>
              <a:gs pos="100000">
                <a:schemeClr val="accent1">
                  <a:lumMod val="45000"/>
                  <a:lumOff val="55000"/>
                </a:schemeClr>
              </a:gs>
              <a:gs pos="50000">
                <a:schemeClr val="accent3">
                  <a:lumMod val="60000"/>
                  <a:lumOff val="40000"/>
                </a:schemeClr>
              </a:gs>
              <a:gs pos="100000">
                <a:schemeClr val="accent3">
                  <a:lumMod val="20000"/>
                  <a:lumOff val="80000"/>
                </a:schemeClr>
              </a:gs>
            </a:gsLst>
            <a:lin ang="5400000" scaled="1"/>
          </a:gradFill>
          <a:ln>
            <a:gradFill>
              <a:gsLst>
                <a:gs pos="0">
                  <a:schemeClr val="accent3">
                    <a:lumMod val="40000"/>
                    <a:lumOff val="60000"/>
                    <a:alpha val="74000"/>
                  </a:schemeClr>
                </a:gs>
                <a:gs pos="100000">
                  <a:schemeClr val="accent3">
                    <a:lumMod val="50000"/>
                  </a:schemeClr>
                </a:gs>
                <a:gs pos="100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3">
                  <a:lumMod val="40000"/>
                  <a:lumOff val="60000"/>
                  <a:alpha val="74000"/>
                </a:schemeClr>
              </a:gs>
              <a:gs pos="100000">
                <a:schemeClr val="accent3">
                  <a:lumMod val="50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3">
                  <a:lumMod val="40000"/>
                  <a:lumOff val="60000"/>
                  <a:alpha val="74000"/>
                </a:schemeClr>
              </a:gs>
              <a:gs pos="100000">
                <a:schemeClr val="accent3">
                  <a:lumMod val="50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3">
                  <a:lumMod val="40000"/>
                  <a:lumOff val="60000"/>
                  <a:alpha val="74000"/>
                </a:schemeClr>
              </a:gs>
              <a:gs pos="100000">
                <a:schemeClr val="accent3">
                  <a:lumMod val="50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Total</c:v>
                </c:pt>
              </c:strCache>
            </c:strRef>
          </c:tx>
          <c:spPr>
            <a:gradFill>
              <a:gsLst>
                <a:gs pos="0">
                  <a:schemeClr val="accent3">
                    <a:lumMod val="40000"/>
                    <a:lumOff val="60000"/>
                    <a:alpha val="74000"/>
                  </a:schemeClr>
                </a:gs>
                <a:gs pos="100000">
                  <a:schemeClr val="accent3">
                    <a:lumMod val="50000"/>
                  </a:schemeClr>
                </a:gs>
                <a:gs pos="100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pivot!$D$4:$D$12</c:f>
              <c:strCache>
                <c:ptCount val="8"/>
                <c:pt idx="0">
                  <c:v>Ahmedabad</c:v>
                </c:pt>
                <c:pt idx="1">
                  <c:v>Bangalore</c:v>
                </c:pt>
                <c:pt idx="2">
                  <c:v>Chennai</c:v>
                </c:pt>
                <c:pt idx="3">
                  <c:v>Delhi</c:v>
                </c:pt>
                <c:pt idx="4">
                  <c:v>Hyderabad</c:v>
                </c:pt>
                <c:pt idx="5">
                  <c:v>Kolkata</c:v>
                </c:pt>
                <c:pt idx="6">
                  <c:v>Mumbai</c:v>
                </c:pt>
                <c:pt idx="7">
                  <c:v>Pune</c:v>
                </c:pt>
              </c:strCache>
            </c:strRef>
          </c:cat>
          <c:val>
            <c:numRef>
              <c:f>pivot!$E$4:$E$12</c:f>
              <c:numCache>
                <c:formatCode>General</c:formatCode>
                <c:ptCount val="8"/>
                <c:pt idx="0">
                  <c:v>203</c:v>
                </c:pt>
                <c:pt idx="1">
                  <c:v>179</c:v>
                </c:pt>
                <c:pt idx="2">
                  <c:v>184</c:v>
                </c:pt>
                <c:pt idx="3">
                  <c:v>177</c:v>
                </c:pt>
                <c:pt idx="4">
                  <c:v>181</c:v>
                </c:pt>
                <c:pt idx="5">
                  <c:v>197</c:v>
                </c:pt>
                <c:pt idx="6">
                  <c:v>180</c:v>
                </c:pt>
                <c:pt idx="7">
                  <c:v>199</c:v>
                </c:pt>
              </c:numCache>
            </c:numRef>
          </c:val>
          <c:extLst>
            <c:ext xmlns:c16="http://schemas.microsoft.com/office/drawing/2014/chart" uri="{C3380CC4-5D6E-409C-BE32-E72D297353CC}">
              <c16:uniqueId val="{00000000-5106-47F7-8F7F-CE3662EA2888}"/>
            </c:ext>
          </c:extLst>
        </c:ser>
        <c:dLbls>
          <c:showLegendKey val="0"/>
          <c:showVal val="0"/>
          <c:showCatName val="0"/>
          <c:showSerName val="0"/>
          <c:showPercent val="0"/>
          <c:showBubbleSize val="0"/>
        </c:dLbls>
        <c:gapWidth val="219"/>
        <c:overlap val="-27"/>
        <c:axId val="233657728"/>
        <c:axId val="233658144"/>
      </c:barChart>
      <c:catAx>
        <c:axId val="23365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3658144"/>
        <c:crosses val="autoZero"/>
        <c:auto val="1"/>
        <c:lblAlgn val="ctr"/>
        <c:lblOffset val="100"/>
        <c:noMultiLvlLbl val="0"/>
      </c:catAx>
      <c:valAx>
        <c:axId val="233658144"/>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233657728"/>
        <c:crosses val="autoZero"/>
        <c:crossBetween val="between"/>
      </c:valAx>
      <c:spPr>
        <a:noFill/>
        <a:ln>
          <a:noFill/>
        </a:ln>
        <a:effectLst/>
      </c:spPr>
    </c:plotArea>
    <c:plotVisOnly val="1"/>
    <c:dispBlanksAs val="gap"/>
    <c:showDLblsOverMax val="0"/>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Banking System.xlsx]pivot!internet banking</c:name>
    <c:fmtId val="17"/>
  </c:pivotSource>
  <c:chart>
    <c:autoTitleDeleted val="1"/>
    <c:pivotFmts>
      <c:pivotFmt>
        <c:idx val="0"/>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w="19050">
            <a:solidFill>
              <a:schemeClr val="lt1"/>
            </a:solidFill>
          </a:ln>
          <a:effectLst/>
        </c:spPr>
      </c:pivotFmt>
      <c:pivotFmt>
        <c:idx val="5"/>
        <c:spPr>
          <a:solidFill>
            <a:schemeClr val="accent6">
              <a:lumMod val="75000"/>
            </a:schemeClr>
          </a:solidFill>
          <a:ln w="19050">
            <a:solidFill>
              <a:schemeClr val="lt1"/>
            </a:solidFill>
          </a:ln>
          <a:effectLst/>
        </c:spPr>
      </c:pivotFmt>
      <c:pivotFmt>
        <c:idx val="6"/>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s>
    <c:plotArea>
      <c:layout/>
      <c:pieChart>
        <c:varyColors val="1"/>
        <c:ser>
          <c:idx val="0"/>
          <c:order val="0"/>
          <c:tx>
            <c:strRef>
              <c:f>pivot!$J$12</c:f>
              <c:strCache>
                <c:ptCount val="1"/>
                <c:pt idx="0">
                  <c:v>Total</c:v>
                </c:pt>
              </c:strCache>
            </c:strRef>
          </c:tx>
          <c:spPr>
            <a:solidFill>
              <a:schemeClr val="accent4">
                <a:lumMod val="50000"/>
              </a:schemeClr>
            </a:solidFill>
          </c:spPr>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6C84-4571-9D1E-72608ADDBAD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C84-4571-9D1E-72608ADDBA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pivot!$I$13:$I$15</c:f>
              <c:strCache>
                <c:ptCount val="2"/>
                <c:pt idx="0">
                  <c:v>No</c:v>
                </c:pt>
                <c:pt idx="1">
                  <c:v>Yes</c:v>
                </c:pt>
              </c:strCache>
            </c:strRef>
          </c:cat>
          <c:val>
            <c:numRef>
              <c:f>pivot!$J$13:$J$15</c:f>
              <c:numCache>
                <c:formatCode>0%</c:formatCode>
                <c:ptCount val="2"/>
                <c:pt idx="0">
                  <c:v>0.48133333333333334</c:v>
                </c:pt>
                <c:pt idx="1">
                  <c:v>0.51866666666666672</c:v>
                </c:pt>
              </c:numCache>
            </c:numRef>
          </c:val>
          <c:extLst>
            <c:ext xmlns:c16="http://schemas.microsoft.com/office/drawing/2014/chart" uri="{C3380CC4-5D6E-409C-BE32-E72D297353CC}">
              <c16:uniqueId val="{00000004-6C84-4571-9D1E-72608ADDBA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Banking System.xlsx]pivot!transaction </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4">
                  <a:lumMod val="50000"/>
                </a:schemeClr>
              </a:gs>
              <a:gs pos="100000">
                <a:schemeClr val="accent1">
                  <a:lumMod val="45000"/>
                  <a:lumOff val="55000"/>
                </a:schemeClr>
              </a:gs>
              <a:gs pos="33000">
                <a:schemeClr val="accent4">
                  <a:lumMod val="60000"/>
                  <a:lumOff val="40000"/>
                </a:schemeClr>
              </a:gs>
              <a:gs pos="100000">
                <a:schemeClr val="accent4">
                  <a:lumMod val="5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4">
                  <a:lumMod val="50000"/>
                </a:schemeClr>
              </a:gs>
              <a:gs pos="100000">
                <a:schemeClr val="accent1">
                  <a:lumMod val="45000"/>
                  <a:lumOff val="55000"/>
                </a:schemeClr>
              </a:gs>
              <a:gs pos="33000">
                <a:schemeClr val="accent4">
                  <a:lumMod val="60000"/>
                  <a:lumOff val="40000"/>
                </a:schemeClr>
              </a:gs>
              <a:gs pos="100000">
                <a:schemeClr val="accent4">
                  <a:lumMod val="5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4">
                  <a:lumMod val="50000"/>
                </a:schemeClr>
              </a:gs>
              <a:gs pos="100000">
                <a:schemeClr val="accent1">
                  <a:lumMod val="45000"/>
                  <a:lumOff val="55000"/>
                </a:schemeClr>
              </a:gs>
              <a:gs pos="33000">
                <a:schemeClr val="accent4">
                  <a:lumMod val="60000"/>
                  <a:lumOff val="40000"/>
                </a:schemeClr>
              </a:gs>
              <a:gs pos="100000">
                <a:schemeClr val="accent4">
                  <a:lumMod val="5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gradFill>
              <a:gsLst>
                <a:gs pos="100000">
                  <a:schemeClr val="accent4">
                    <a:lumMod val="50000"/>
                  </a:schemeClr>
                </a:gs>
                <a:gs pos="100000">
                  <a:schemeClr val="accent1">
                    <a:lumMod val="45000"/>
                    <a:lumOff val="55000"/>
                  </a:schemeClr>
                </a:gs>
                <a:gs pos="33000">
                  <a:schemeClr val="accent4">
                    <a:lumMod val="60000"/>
                    <a:lumOff val="40000"/>
                  </a:schemeClr>
                </a:gs>
                <a:gs pos="100000">
                  <a:schemeClr val="accent4">
                    <a:lumMod val="50000"/>
                  </a:schemeClr>
                </a:gs>
              </a:gsLst>
              <a:lin ang="5400000" scaled="1"/>
            </a:gra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pivot!$G$4:$G$8</c:f>
              <c:strCache>
                <c:ptCount val="4"/>
                <c:pt idx="0">
                  <c:v>MasterCard</c:v>
                </c:pt>
                <c:pt idx="1">
                  <c:v>American Express</c:v>
                </c:pt>
                <c:pt idx="2">
                  <c:v>Visa</c:v>
                </c:pt>
                <c:pt idx="3">
                  <c:v>RuPay</c:v>
                </c:pt>
              </c:strCache>
            </c:strRef>
          </c:cat>
          <c:val>
            <c:numRef>
              <c:f>pivot!$H$4:$H$8</c:f>
              <c:numCache>
                <c:formatCode>General</c:formatCode>
                <c:ptCount val="4"/>
                <c:pt idx="0">
                  <c:v>390</c:v>
                </c:pt>
                <c:pt idx="1">
                  <c:v>381</c:v>
                </c:pt>
                <c:pt idx="2">
                  <c:v>380</c:v>
                </c:pt>
                <c:pt idx="3">
                  <c:v>349</c:v>
                </c:pt>
              </c:numCache>
            </c:numRef>
          </c:val>
          <c:extLst>
            <c:ext xmlns:c16="http://schemas.microsoft.com/office/drawing/2014/chart" uri="{C3380CC4-5D6E-409C-BE32-E72D297353CC}">
              <c16:uniqueId val="{00000000-C5D8-46DE-800D-1FE2C5C334E3}"/>
            </c:ext>
          </c:extLst>
        </c:ser>
        <c:dLbls>
          <c:showLegendKey val="0"/>
          <c:showVal val="0"/>
          <c:showCatName val="0"/>
          <c:showSerName val="0"/>
          <c:showPercent val="0"/>
          <c:showBubbleSize val="0"/>
        </c:dLbls>
        <c:gapWidth val="150"/>
        <c:axId val="847638032"/>
        <c:axId val="847645104"/>
      </c:barChart>
      <c:catAx>
        <c:axId val="847638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7645104"/>
        <c:crosses val="autoZero"/>
        <c:auto val="1"/>
        <c:lblAlgn val="ctr"/>
        <c:lblOffset val="100"/>
        <c:noMultiLvlLbl val="0"/>
      </c:catAx>
      <c:valAx>
        <c:axId val="84764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7638032"/>
        <c:crosses val="autoZero"/>
        <c:crossBetween val="between"/>
      </c:valAx>
      <c:spPr>
        <a:noFill/>
        <a:ln>
          <a:noFill/>
        </a:ln>
        <a:effectLst/>
      </c:spPr>
    </c:plotArea>
    <c:plotVisOnly val="1"/>
    <c:dispBlanksAs val="gap"/>
    <c:showDLblsOverMax val="0"/>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Banking System.xlsx]pivot!account type</c:name>
    <c:fmtId val="7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Account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53-4ECA-A962-5D5C1243A9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53-4ECA-A962-5D5C1243A9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53-4ECA-A962-5D5C1243A9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53-4ECA-A962-5D5C1243A905}"/>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pivot!$J$3:$J$7</c:f>
              <c:strCache>
                <c:ptCount val="4"/>
                <c:pt idx="0">
                  <c:v>Current</c:v>
                </c:pt>
                <c:pt idx="1">
                  <c:v>Fixed Deposit</c:v>
                </c:pt>
                <c:pt idx="2">
                  <c:v>Salary</c:v>
                </c:pt>
                <c:pt idx="3">
                  <c:v>Savings</c:v>
                </c:pt>
              </c:strCache>
            </c:strRef>
          </c:cat>
          <c:val>
            <c:numRef>
              <c:f>pivot!$K$3:$K$7</c:f>
              <c:numCache>
                <c:formatCode>0%</c:formatCode>
                <c:ptCount val="4"/>
                <c:pt idx="0">
                  <c:v>0.26133333333333331</c:v>
                </c:pt>
                <c:pt idx="1">
                  <c:v>0.24266666666666667</c:v>
                </c:pt>
                <c:pt idx="2">
                  <c:v>0.25466666666666665</c:v>
                </c:pt>
                <c:pt idx="3">
                  <c:v>0.24133333333333334</c:v>
                </c:pt>
              </c:numCache>
            </c:numRef>
          </c:val>
          <c:extLst>
            <c:ext xmlns:c16="http://schemas.microsoft.com/office/drawing/2014/chart" uri="{C3380CC4-5D6E-409C-BE32-E72D297353CC}">
              <c16:uniqueId val="{00000008-4053-4ECA-A962-5D5C1243A9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 Banking System.xlsx]pivot!satisfaction</c:name>
    <c:fmtId val="54"/>
  </c:pivotSource>
  <c:chart>
    <c:autoTitleDeleted val="1"/>
    <c:pivotFmts>
      <c:pivotFmt>
        <c:idx val="0"/>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pivot!$Q$3:$Q$11</c:f>
              <c:strCache>
                <c:ptCount val="8"/>
                <c:pt idx="0">
                  <c:v>Ahmedabad</c:v>
                </c:pt>
                <c:pt idx="1">
                  <c:v>Bangalore</c:v>
                </c:pt>
                <c:pt idx="2">
                  <c:v>Chennai</c:v>
                </c:pt>
                <c:pt idx="3">
                  <c:v>Delhi</c:v>
                </c:pt>
                <c:pt idx="4">
                  <c:v>Hyderabad</c:v>
                </c:pt>
                <c:pt idx="5">
                  <c:v>Kolkata</c:v>
                </c:pt>
                <c:pt idx="6">
                  <c:v>Mumbai</c:v>
                </c:pt>
                <c:pt idx="7">
                  <c:v>Pune</c:v>
                </c:pt>
              </c:strCache>
            </c:strRef>
          </c:cat>
          <c:val>
            <c:numRef>
              <c:f>pivot!$R$3:$R$11</c:f>
              <c:numCache>
                <c:formatCode>_("₹"* #,##0.00_);_("₹"* \(#,##0.00\);_("₹"* "-"??_);_(@_)</c:formatCode>
                <c:ptCount val="8"/>
                <c:pt idx="0">
                  <c:v>3.0359605911330054</c:v>
                </c:pt>
                <c:pt idx="1">
                  <c:v>3.0631284916201134</c:v>
                </c:pt>
                <c:pt idx="2">
                  <c:v>3.1527173913043494</c:v>
                </c:pt>
                <c:pt idx="3">
                  <c:v>2.9723163841807905</c:v>
                </c:pt>
                <c:pt idx="4">
                  <c:v>2.9303867403314912</c:v>
                </c:pt>
                <c:pt idx="5">
                  <c:v>2.8837563451776651</c:v>
                </c:pt>
                <c:pt idx="6">
                  <c:v>3.050555555555555</c:v>
                </c:pt>
                <c:pt idx="7">
                  <c:v>3.0552763819095499</c:v>
                </c:pt>
              </c:numCache>
            </c:numRef>
          </c:val>
          <c:smooth val="0"/>
          <c:extLst>
            <c:ext xmlns:c16="http://schemas.microsoft.com/office/drawing/2014/chart" uri="{C3380CC4-5D6E-409C-BE32-E72D297353CC}">
              <c16:uniqueId val="{00000000-2D7C-425D-8B59-243B02731D13}"/>
            </c:ext>
          </c:extLst>
        </c:ser>
        <c:dLbls>
          <c:showLegendKey val="0"/>
          <c:showVal val="0"/>
          <c:showCatName val="0"/>
          <c:showSerName val="0"/>
          <c:showPercent val="0"/>
          <c:showBubbleSize val="0"/>
        </c:dLbls>
        <c:marker val="1"/>
        <c:smooth val="0"/>
        <c:axId val="433342415"/>
        <c:axId val="433345327"/>
      </c:lineChart>
      <c:catAx>
        <c:axId val="43334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345327"/>
        <c:crosses val="autoZero"/>
        <c:auto val="1"/>
        <c:lblAlgn val="ctr"/>
        <c:lblOffset val="100"/>
        <c:noMultiLvlLbl val="0"/>
      </c:catAx>
      <c:valAx>
        <c:axId val="433345327"/>
        <c:scaling>
          <c:orientation val="minMax"/>
        </c:scaling>
        <c:delete val="0"/>
        <c:axPos val="l"/>
        <c:majorGridlines>
          <c:spPr>
            <a:ln w="9525" cap="flat" cmpd="sng" algn="ctr">
              <a:no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342415"/>
        <c:crosses val="autoZero"/>
        <c:crossBetween val="between"/>
      </c:valAx>
      <c:spPr>
        <a:noFill/>
        <a:ln>
          <a:noFill/>
        </a:ln>
        <a:effectLst/>
      </c:spPr>
    </c:plotArea>
    <c:plotVisOnly val="1"/>
    <c:dispBlanksAs val="gap"/>
    <c:showDLblsOverMax val="0"/>
  </c:chart>
  <c:spPr>
    <a:solidFill>
      <a:schemeClr val="bg1"/>
    </a:solidFill>
    <a:ln w="2857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Banking System.xlsx]CARD TYPE!card type</c:name>
    <c:fmtId val="12"/>
  </c:pivotSource>
  <c:chart>
    <c:autoTitleDeleted val="1"/>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'CARD TYPE'!$B$3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'CARD TYPE'!$A$4:$A$8</c:f>
              <c:strCache>
                <c:ptCount val="4"/>
                <c:pt idx="0">
                  <c:v>MasterCard</c:v>
                </c:pt>
                <c:pt idx="1">
                  <c:v>American Express</c:v>
                </c:pt>
                <c:pt idx="2">
                  <c:v>RuPay</c:v>
                </c:pt>
                <c:pt idx="3">
                  <c:v>Visa</c:v>
                </c:pt>
              </c:strCache>
            </c:strRef>
          </c:cat>
          <c:val>
            <c:numRef>
              <c:f>'CARD TYPE'!$B$4:$B$8</c:f>
              <c:numCache>
                <c:formatCode>General</c:formatCode>
                <c:ptCount val="4"/>
                <c:pt idx="0">
                  <c:v>390</c:v>
                </c:pt>
                <c:pt idx="1">
                  <c:v>381</c:v>
                </c:pt>
                <c:pt idx="2">
                  <c:v>349</c:v>
                </c:pt>
                <c:pt idx="3">
                  <c:v>380</c:v>
                </c:pt>
              </c:numCache>
            </c:numRef>
          </c:val>
          <c:extLst>
            <c:ext xmlns:c16="http://schemas.microsoft.com/office/drawing/2014/chart" uri="{C3380CC4-5D6E-409C-BE32-E72D297353CC}">
              <c16:uniqueId val="{00000000-A7A3-409F-A5F4-3D7A8D7E0915}"/>
            </c:ext>
          </c:extLst>
        </c:ser>
        <c:dLbls>
          <c:showLegendKey val="0"/>
          <c:showVal val="0"/>
          <c:showCatName val="0"/>
          <c:showSerName val="0"/>
          <c:showPercent val="0"/>
          <c:showBubbleSize val="0"/>
        </c:dLbls>
        <c:gapWidth val="182"/>
        <c:axId val="755894160"/>
        <c:axId val="755900816"/>
      </c:barChart>
      <c:catAx>
        <c:axId val="75589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900816"/>
        <c:crosses val="autoZero"/>
        <c:auto val="1"/>
        <c:lblAlgn val="ctr"/>
        <c:lblOffset val="100"/>
        <c:noMultiLvlLbl val="0"/>
      </c:catAx>
      <c:valAx>
        <c:axId val="755900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894160"/>
        <c:crosses val="autoZero"/>
        <c:crossBetween val="between"/>
      </c:valAx>
      <c:spPr>
        <a:noFill/>
        <a:ln>
          <a:noFill/>
        </a:ln>
        <a:effectLst/>
      </c:spPr>
    </c:plotArea>
    <c:plotVisOnly val="1"/>
    <c:dispBlanksAs val="gap"/>
    <c:showDLblsOverMax val="0"/>
  </c:chart>
  <c:spPr>
    <a:solidFill>
      <a:schemeClr val="bg1"/>
    </a:solidFill>
    <a:ln w="2857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Banking System.xlsx]CARD TYPE!card type</c:name>
    <c:fmtId val="10"/>
  </c:pivotSource>
  <c:chart>
    <c:autoTitleDeleted val="1"/>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'CARD TYPE'!$B$3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'CARD TYPE'!$A$4:$A$8</c:f>
              <c:strCache>
                <c:ptCount val="4"/>
                <c:pt idx="0">
                  <c:v>MasterCard</c:v>
                </c:pt>
                <c:pt idx="1">
                  <c:v>American Express</c:v>
                </c:pt>
                <c:pt idx="2">
                  <c:v>RuPay</c:v>
                </c:pt>
                <c:pt idx="3">
                  <c:v>Visa</c:v>
                </c:pt>
              </c:strCache>
            </c:strRef>
          </c:cat>
          <c:val>
            <c:numRef>
              <c:f>'CARD TYPE'!$B$4:$B$8</c:f>
              <c:numCache>
                <c:formatCode>General</c:formatCode>
                <c:ptCount val="4"/>
                <c:pt idx="0">
                  <c:v>390</c:v>
                </c:pt>
                <c:pt idx="1">
                  <c:v>381</c:v>
                </c:pt>
                <c:pt idx="2">
                  <c:v>349</c:v>
                </c:pt>
                <c:pt idx="3">
                  <c:v>380</c:v>
                </c:pt>
              </c:numCache>
            </c:numRef>
          </c:val>
          <c:extLst>
            <c:ext xmlns:c16="http://schemas.microsoft.com/office/drawing/2014/chart" uri="{C3380CC4-5D6E-409C-BE32-E72D297353CC}">
              <c16:uniqueId val="{00000000-C3D0-4D30-B98B-F20AF240E07D}"/>
            </c:ext>
          </c:extLst>
        </c:ser>
        <c:dLbls>
          <c:showLegendKey val="0"/>
          <c:showVal val="0"/>
          <c:showCatName val="0"/>
          <c:showSerName val="0"/>
          <c:showPercent val="0"/>
          <c:showBubbleSize val="0"/>
        </c:dLbls>
        <c:gapWidth val="182"/>
        <c:axId val="755894160"/>
        <c:axId val="755900816"/>
      </c:barChart>
      <c:catAx>
        <c:axId val="75589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900816"/>
        <c:crosses val="autoZero"/>
        <c:auto val="1"/>
        <c:lblAlgn val="ctr"/>
        <c:lblOffset val="100"/>
        <c:noMultiLvlLbl val="0"/>
      </c:catAx>
      <c:valAx>
        <c:axId val="755900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894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chart" Target="../charts/chart7.xml"/><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emf"/><Relationship Id="rId17" Type="http://schemas.openxmlformats.org/officeDocument/2006/relationships/chart" Target="../charts/chart11.xml"/><Relationship Id="rId2" Type="http://schemas.openxmlformats.org/officeDocument/2006/relationships/image" Target="../media/image2.emf"/><Relationship Id="rId16"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emf"/><Relationship Id="rId15" Type="http://schemas.openxmlformats.org/officeDocument/2006/relationships/chart" Target="../charts/chart9.xml"/><Relationship Id="rId10" Type="http://schemas.openxmlformats.org/officeDocument/2006/relationships/image" Target="../media/image10.emf"/><Relationship Id="rId19" Type="http://schemas.openxmlformats.org/officeDocument/2006/relationships/chart" Target="../charts/chart13.xml"/><Relationship Id="rId4" Type="http://schemas.openxmlformats.org/officeDocument/2006/relationships/image" Target="../media/image4.emf"/><Relationship Id="rId9" Type="http://schemas.openxmlformats.org/officeDocument/2006/relationships/image" Target="../media/image9.png"/><Relationship Id="rId1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156210</xdr:rowOff>
    </xdr:from>
    <xdr:to>
      <xdr:col>2</xdr:col>
      <xdr:colOff>137160</xdr:colOff>
      <xdr:row>17</xdr:row>
      <xdr:rowOff>22860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182880</xdr:colOff>
      <xdr:row>12</xdr:row>
      <xdr:rowOff>118110</xdr:rowOff>
    </xdr:from>
    <xdr:to>
      <xdr:col>7</xdr:col>
      <xdr:colOff>403860</xdr:colOff>
      <xdr:row>24</xdr:row>
      <xdr:rowOff>121920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487680</xdr:colOff>
      <xdr:row>15</xdr:row>
      <xdr:rowOff>125730</xdr:rowOff>
    </xdr:from>
    <xdr:to>
      <xdr:col>9</xdr:col>
      <xdr:colOff>320040</xdr:colOff>
      <xdr:row>27</xdr:row>
      <xdr:rowOff>137160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533400</xdr:colOff>
      <xdr:row>15</xdr:row>
      <xdr:rowOff>167640</xdr:rowOff>
    </xdr:from>
    <xdr:to>
      <xdr:col>12</xdr:col>
      <xdr:colOff>441960</xdr:colOff>
      <xdr:row>28</xdr:row>
      <xdr:rowOff>45720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30480</xdr:colOff>
      <xdr:row>0</xdr:row>
      <xdr:rowOff>167640</xdr:rowOff>
    </xdr:from>
    <xdr:to>
      <xdr:col>15</xdr:col>
      <xdr:colOff>403860</xdr:colOff>
      <xdr:row>14</xdr:row>
      <xdr:rowOff>60960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487680</xdr:colOff>
      <xdr:row>25</xdr:row>
      <xdr:rowOff>129541</xdr:rowOff>
    </xdr:from>
    <xdr:to>
      <xdr:col>5</xdr:col>
      <xdr:colOff>596712</xdr:colOff>
      <xdr:row>33</xdr:row>
      <xdr:rowOff>167641</xdr:rowOff>
    </xdr:to>
    <mc:AlternateContent xmlns:mc="http://schemas.openxmlformats.org/markup-compatibility/2006" xmlns:a14="http://schemas.microsoft.com/office/drawing/2010/main">
      <mc:Choice Requires="a14">
        <xdr:graphicFrame macro="">
          <xdr:nvGraphicFramePr>
            <xdr:cNvPr id="8" name="Account Type"/>
            <xdr:cNvGraphicFramePr/>
          </xdr:nvGraphicFramePr>
          <xdr:xfrm>
            <a:off x="0" y="0"/>
            <a:ext cx="0" cy="0"/>
          </xdr:xfrm>
          <a:graphic>
            <a:graphicData uri="http://schemas.microsoft.com/office/drawing/2010/slicer">
              <sle:slicer xmlns:sle="http://schemas.microsoft.com/office/drawing/2010/slicer" name="Account Type"/>
            </a:graphicData>
          </a:graphic>
        </xdr:graphicFrame>
      </mc:Choice>
      <mc:Fallback xmlns="">
        <xdr:sp macro="" textlink="">
          <xdr:nvSpPr>
            <xdr:cNvPr id="0" name=""/>
            <xdr:cNvSpPr>
              <a:spLocks noTextEdit="1"/>
            </xdr:cNvSpPr>
          </xdr:nvSpPr>
          <xdr:spPr>
            <a:xfrm>
              <a:off x="4244340" y="470154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205740</xdr:colOff>
      <xdr:row>26</xdr:row>
      <xdr:rowOff>76201</xdr:rowOff>
    </xdr:from>
    <xdr:to>
      <xdr:col>3</xdr:col>
      <xdr:colOff>449580</xdr:colOff>
      <xdr:row>31</xdr:row>
      <xdr:rowOff>144781</xdr:rowOff>
    </xdr:to>
    <mc:AlternateContent xmlns:mc="http://schemas.openxmlformats.org/markup-compatibility/2006" xmlns:a14="http://schemas.microsoft.com/office/drawing/2010/main">
      <mc:Choice Requires="a14">
        <xdr:graphicFrame macro="">
          <xdr:nvGraphicFramePr>
            <xdr:cNvPr id="14" name="Internet Banking (Yes/No)"/>
            <xdr:cNvGraphicFramePr/>
          </xdr:nvGraphicFramePr>
          <xdr:xfrm>
            <a:off x="0" y="0"/>
            <a:ext cx="0" cy="0"/>
          </xdr:xfrm>
          <a:graphic>
            <a:graphicData uri="http://schemas.microsoft.com/office/drawing/2010/slicer">
              <sle:slicer xmlns:sle="http://schemas.microsoft.com/office/drawing/2010/slicer" name="Internet Banking (Yes/No)"/>
            </a:graphicData>
          </a:graphic>
        </xdr:graphicFrame>
      </mc:Choice>
      <mc:Fallback xmlns="">
        <xdr:sp macro="" textlink="">
          <xdr:nvSpPr>
            <xdr:cNvPr id="0" name=""/>
            <xdr:cNvSpPr>
              <a:spLocks noTextEdit="1"/>
            </xdr:cNvSpPr>
          </xdr:nvSpPr>
          <xdr:spPr>
            <a:xfrm>
              <a:off x="2377440" y="4831081"/>
              <a:ext cx="182880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1082040</xdr:colOff>
      <xdr:row>28</xdr:row>
      <xdr:rowOff>1</xdr:rowOff>
    </xdr:from>
    <xdr:to>
      <xdr:col>9</xdr:col>
      <xdr:colOff>328976</xdr:colOff>
      <xdr:row>32</xdr:row>
      <xdr:rowOff>144781</xdr:rowOff>
    </xdr:to>
    <mc:AlternateContent xmlns:mc="http://schemas.openxmlformats.org/markup-compatibility/2006" xmlns:a14="http://schemas.microsoft.com/office/drawing/2010/main">
      <mc:Choice Requires="a14">
        <xdr:graphicFrame macro="">
          <xdr:nvGraphicFramePr>
            <xdr:cNvPr id="1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83880" y="5120641"/>
              <a:ext cx="18288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479778</xdr:colOff>
      <xdr:row>12</xdr:row>
      <xdr:rowOff>34808</xdr:rowOff>
    </xdr:from>
    <xdr:to>
      <xdr:col>18</xdr:col>
      <xdr:colOff>395112</xdr:colOff>
      <xdr:row>23</xdr:row>
      <xdr:rowOff>9407</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185232</xdr:colOff>
      <xdr:row>26</xdr:row>
      <xdr:rowOff>116840</xdr:rowOff>
    </xdr:from>
    <xdr:to>
      <xdr:col>7</xdr:col>
      <xdr:colOff>913366</xdr:colOff>
      <xdr:row>40</xdr:row>
      <xdr:rowOff>81444</xdr:rowOff>
    </xdr:to>
    <mc:AlternateContent xmlns:mc="http://schemas.openxmlformats.org/markup-compatibility/2006" xmlns:a14="http://schemas.microsoft.com/office/drawing/2010/main">
      <mc:Choice Requires="a14">
        <xdr:graphicFrame macro="">
          <xdr:nvGraphicFramePr>
            <xdr:cNvPr id="9"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046047" y="476409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0.24857</cdr:x>
      <cdr:y>0.07452</cdr:y>
    </cdr:from>
    <cdr:to>
      <cdr:x>0.6826</cdr:x>
      <cdr:y>0.17158</cdr:y>
    </cdr:to>
    <cdr:sp macro="" textlink="">
      <cdr:nvSpPr>
        <cdr:cNvPr id="2" name="TextBox 1"/>
        <cdr:cNvSpPr txBox="1"/>
      </cdr:nvSpPr>
      <cdr:spPr>
        <a:xfrm xmlns:a="http://schemas.openxmlformats.org/drawingml/2006/main">
          <a:off x="990600" y="163830"/>
          <a:ext cx="1729740" cy="2133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0.25813</cdr:x>
      <cdr:y>0.05026</cdr:y>
    </cdr:from>
    <cdr:to>
      <cdr:x>0.74761</cdr:x>
      <cdr:y>0.17504</cdr:y>
    </cdr:to>
    <cdr:sp macro="" textlink="">
      <cdr:nvSpPr>
        <cdr:cNvPr id="3" name="TextBox 2"/>
        <cdr:cNvSpPr txBox="1"/>
      </cdr:nvSpPr>
      <cdr:spPr>
        <a:xfrm xmlns:a="http://schemas.openxmlformats.org/drawingml/2006/main">
          <a:off x="1028700" y="110490"/>
          <a:ext cx="1950720" cy="2743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0.27151</cdr:x>
      <cdr:y>0.0052</cdr:y>
    </cdr:from>
    <cdr:to>
      <cdr:x>0.69407</cdr:x>
      <cdr:y>0.15771</cdr:y>
    </cdr:to>
    <cdr:sp macro="" textlink="">
      <cdr:nvSpPr>
        <cdr:cNvPr id="4" name="TextBox 3"/>
        <cdr:cNvSpPr txBox="1"/>
      </cdr:nvSpPr>
      <cdr:spPr>
        <a:xfrm xmlns:a="http://schemas.openxmlformats.org/drawingml/2006/main">
          <a:off x="1082040" y="11430"/>
          <a:ext cx="1684020" cy="3352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a:t>Customers</a:t>
          </a:r>
          <a:r>
            <a:rPr lang="en-IN" sz="1400" baseline="0"/>
            <a:t> By cities</a:t>
          </a:r>
        </a:p>
        <a:p xmlns:a="http://schemas.openxmlformats.org/drawingml/2006/main">
          <a:endParaRPr lang="en-IN" sz="11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481724</xdr:colOff>
      <xdr:row>33</xdr:row>
      <xdr:rowOff>74543</xdr:rowOff>
    </xdr:to>
    <xdr:sp macro="" textlink="">
      <xdr:nvSpPr>
        <xdr:cNvPr id="2" name="Rectangle 1"/>
        <xdr:cNvSpPr/>
      </xdr:nvSpPr>
      <xdr:spPr>
        <a:xfrm>
          <a:off x="0" y="0"/>
          <a:ext cx="14661931" cy="6144267"/>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984</xdr:colOff>
      <xdr:row>0</xdr:row>
      <xdr:rowOff>991</xdr:rowOff>
    </xdr:from>
    <xdr:to>
      <xdr:col>23</xdr:col>
      <xdr:colOff>488673</xdr:colOff>
      <xdr:row>2</xdr:row>
      <xdr:rowOff>39091</xdr:rowOff>
    </xdr:to>
    <xdr:sp macro="" textlink="">
      <xdr:nvSpPr>
        <xdr:cNvPr id="4" name="Rectangle 3"/>
        <xdr:cNvSpPr/>
      </xdr:nvSpPr>
      <xdr:spPr>
        <a:xfrm>
          <a:off x="984" y="991"/>
          <a:ext cx="14667515" cy="402535"/>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noFill/>
            </a:rPr>
            <a:t>uyiyhi</a:t>
          </a:r>
          <a:r>
            <a:rPr lang="en-IN" sz="2400" b="1">
              <a:solidFill>
                <a:schemeClr val="bg1"/>
              </a:solidFill>
            </a:rPr>
            <a:t>CUSTOMER</a:t>
          </a:r>
          <a:r>
            <a:rPr lang="en-IN" sz="2400" b="1" baseline="0">
              <a:solidFill>
                <a:schemeClr val="bg1"/>
              </a:solidFill>
            </a:rPr>
            <a:t> BANKING SYSTEM DASHBOARD</a:t>
          </a:r>
          <a:endParaRPr lang="en-IN" sz="2400" b="1">
            <a:noFill/>
          </a:endParaRPr>
        </a:p>
      </xdr:txBody>
    </xdr:sp>
    <xdr:clientData/>
  </xdr:twoCellAnchor>
  <xdr:twoCellAnchor>
    <xdr:from>
      <xdr:col>3</xdr:col>
      <xdr:colOff>47563</xdr:colOff>
      <xdr:row>2</xdr:row>
      <xdr:rowOff>79221</xdr:rowOff>
    </xdr:from>
    <xdr:to>
      <xdr:col>6</xdr:col>
      <xdr:colOff>240382</xdr:colOff>
      <xdr:row>5</xdr:row>
      <xdr:rowOff>148134</xdr:rowOff>
    </xdr:to>
    <xdr:grpSp>
      <xdr:nvGrpSpPr>
        <xdr:cNvPr id="48" name="Group 47"/>
        <xdr:cNvGrpSpPr/>
      </xdr:nvGrpSpPr>
      <xdr:grpSpPr>
        <a:xfrm>
          <a:off x="1886873" y="447083"/>
          <a:ext cx="2032130" cy="620706"/>
          <a:chOff x="1115833" y="577132"/>
          <a:chExt cx="2017312" cy="736490"/>
        </a:xfrm>
      </xdr:grpSpPr>
      <xdr:grpSp>
        <xdr:nvGrpSpPr>
          <xdr:cNvPr id="18" name="Group 17"/>
          <xdr:cNvGrpSpPr/>
        </xdr:nvGrpSpPr>
        <xdr:grpSpPr>
          <a:xfrm>
            <a:off x="1115833" y="577132"/>
            <a:ext cx="2017312" cy="736490"/>
            <a:chOff x="1150620" y="571500"/>
            <a:chExt cx="2004060" cy="739140"/>
          </a:xfrm>
        </xdr:grpSpPr>
        <xdr:sp macro="" textlink="">
          <xdr:nvSpPr>
            <xdr:cNvPr id="12" name="Rounded Rectangle 11"/>
            <xdr:cNvSpPr/>
          </xdr:nvSpPr>
          <xdr:spPr>
            <a:xfrm>
              <a:off x="1150620" y="571500"/>
              <a:ext cx="2004060" cy="73914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7" name="Picture 16" descr="Customer - Free people icon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1580" y="723900"/>
              <a:ext cx="449580" cy="449580"/>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9" name="TextBox 18"/>
          <xdr:cNvSpPr txBox="1"/>
        </xdr:nvSpPr>
        <xdr:spPr>
          <a:xfrm>
            <a:off x="1637419" y="622688"/>
            <a:ext cx="1449703" cy="28852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2">
                    <a:lumMod val="50000"/>
                  </a:schemeClr>
                </a:solidFill>
              </a:rPr>
              <a:t>TOTAL CUSTOMERS</a:t>
            </a:r>
          </a:p>
        </xdr:txBody>
      </xdr:sp>
      <xdr:pic>
        <xdr:nvPicPr>
          <xdr:cNvPr id="21" name="Picture 2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8498" y="964359"/>
            <a:ext cx="1142888" cy="28852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6</xdr:col>
      <xdr:colOff>281981</xdr:colOff>
      <xdr:row>2</xdr:row>
      <xdr:rowOff>98066</xdr:rowOff>
    </xdr:from>
    <xdr:to>
      <xdr:col>9</xdr:col>
      <xdr:colOff>430406</xdr:colOff>
      <xdr:row>6</xdr:row>
      <xdr:rowOff>0</xdr:rowOff>
    </xdr:to>
    <xdr:grpSp>
      <xdr:nvGrpSpPr>
        <xdr:cNvPr id="29" name="Group 28"/>
        <xdr:cNvGrpSpPr/>
      </xdr:nvGrpSpPr>
      <xdr:grpSpPr>
        <a:xfrm>
          <a:off x="3960602" y="465928"/>
          <a:ext cx="1987735" cy="637658"/>
          <a:chOff x="3230880" y="563880"/>
          <a:chExt cx="2004060" cy="739140"/>
        </a:xfrm>
      </xdr:grpSpPr>
      <xdr:grpSp>
        <xdr:nvGrpSpPr>
          <xdr:cNvPr id="23" name="Group 22"/>
          <xdr:cNvGrpSpPr/>
        </xdr:nvGrpSpPr>
        <xdr:grpSpPr>
          <a:xfrm>
            <a:off x="3230880" y="563880"/>
            <a:ext cx="2004060" cy="739140"/>
            <a:chOff x="3230880" y="579120"/>
            <a:chExt cx="2004060" cy="739140"/>
          </a:xfrm>
        </xdr:grpSpPr>
        <xdr:sp macro="" textlink="">
          <xdr:nvSpPr>
            <xdr:cNvPr id="15" name="Rounded Rectangle 14"/>
            <xdr:cNvSpPr/>
          </xdr:nvSpPr>
          <xdr:spPr>
            <a:xfrm>
              <a:off x="3230880" y="579120"/>
              <a:ext cx="2004060" cy="73914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2" name="Picture 21"/>
            <xdr:cNvPicPr>
              <a:picLocks noChangeAspect="1"/>
            </xdr:cNvPicPr>
          </xdr:nvPicPr>
          <xdr:blipFill>
            <a:blip xmlns:r="http://schemas.openxmlformats.org/officeDocument/2006/relationships" r:embed="rId3"/>
            <a:stretch>
              <a:fillRect/>
            </a:stretch>
          </xdr:blipFill>
          <xdr:spPr>
            <a:xfrm>
              <a:off x="3230880" y="670560"/>
              <a:ext cx="487680" cy="487680"/>
            </a:xfrm>
            <a:prstGeom prst="rect">
              <a:avLst/>
            </a:prstGeom>
          </xdr:spPr>
        </xdr:pic>
      </xdr:grpSp>
      <xdr:sp macro="" textlink="">
        <xdr:nvSpPr>
          <xdr:cNvPr id="24" name="TextBox 23"/>
          <xdr:cNvSpPr txBox="1"/>
        </xdr:nvSpPr>
        <xdr:spPr>
          <a:xfrm>
            <a:off x="3680460" y="632460"/>
            <a:ext cx="150114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ACCOUNT</a:t>
            </a:r>
            <a:r>
              <a:rPr lang="en-IN" sz="1200" b="1" baseline="0">
                <a:solidFill>
                  <a:schemeClr val="dk1"/>
                </a:solidFill>
                <a:effectLst/>
                <a:latin typeface="+mn-lt"/>
                <a:ea typeface="+mn-ea"/>
                <a:cs typeface="+mn-cs"/>
              </a:rPr>
              <a:t> BALANCE</a:t>
            </a:r>
            <a:endParaRPr lang="en-IN" sz="1200">
              <a:effectLst/>
            </a:endParaRPr>
          </a:p>
          <a:p>
            <a:endParaRPr lang="en-IN" sz="1100"/>
          </a:p>
        </xdr:txBody>
      </xdr:sp>
      <xdr:pic>
        <xdr:nvPicPr>
          <xdr:cNvPr id="28" name="Picture 27"/>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10000" y="952500"/>
            <a:ext cx="1135380" cy="27432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9</xdr:col>
      <xdr:colOff>474179</xdr:colOff>
      <xdr:row>2</xdr:row>
      <xdr:rowOff>84050</xdr:rowOff>
    </xdr:from>
    <xdr:to>
      <xdr:col>13</xdr:col>
      <xdr:colOff>82056</xdr:colOff>
      <xdr:row>6</xdr:row>
      <xdr:rowOff>15139</xdr:rowOff>
    </xdr:to>
    <xdr:grpSp>
      <xdr:nvGrpSpPr>
        <xdr:cNvPr id="46" name="Group 45"/>
        <xdr:cNvGrpSpPr/>
      </xdr:nvGrpSpPr>
      <xdr:grpSpPr>
        <a:xfrm>
          <a:off x="5992110" y="451912"/>
          <a:ext cx="2060291" cy="666813"/>
          <a:chOff x="5253824" y="524455"/>
          <a:chExt cx="2101133" cy="736489"/>
        </a:xfrm>
      </xdr:grpSpPr>
      <xdr:sp macro="" textlink="">
        <xdr:nvSpPr>
          <xdr:cNvPr id="14" name="Rounded Rectangle 13"/>
          <xdr:cNvSpPr/>
        </xdr:nvSpPr>
        <xdr:spPr>
          <a:xfrm>
            <a:off x="5253824" y="524455"/>
            <a:ext cx="2101133" cy="73648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2" name="Picture 31"/>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90537" y="972047"/>
            <a:ext cx="1469666" cy="22337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4" name="TextBox 33"/>
          <xdr:cNvSpPr txBox="1"/>
        </xdr:nvSpPr>
        <xdr:spPr>
          <a:xfrm>
            <a:off x="5760057" y="622852"/>
            <a:ext cx="1538246" cy="29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TOTAL</a:t>
            </a:r>
            <a:r>
              <a:rPr lang="en-IN" sz="1100" b="1" baseline="0">
                <a:solidFill>
                  <a:schemeClr val="dk1"/>
                </a:solidFill>
                <a:effectLst/>
                <a:latin typeface="+mn-lt"/>
                <a:ea typeface="+mn-ea"/>
                <a:cs typeface="+mn-cs"/>
              </a:rPr>
              <a:t> LOAN AMOUNT</a:t>
            </a:r>
            <a:endParaRPr lang="en-IN" sz="1100">
              <a:effectLst/>
            </a:endParaRPr>
          </a:p>
          <a:p>
            <a:endParaRPr lang="en-IN" sz="1100"/>
          </a:p>
        </xdr:txBody>
      </xdr:sp>
      <xdr:pic>
        <xdr:nvPicPr>
          <xdr:cNvPr id="35" name="Picture 34"/>
          <xdr:cNvPicPr>
            <a:picLocks noChangeAspect="1"/>
          </xdr:cNvPicPr>
        </xdr:nvPicPr>
        <xdr:blipFill>
          <a:blip xmlns:r="http://schemas.openxmlformats.org/officeDocument/2006/relationships" r:embed="rId6"/>
          <a:stretch>
            <a:fillRect/>
          </a:stretch>
        </xdr:blipFill>
        <xdr:spPr>
          <a:xfrm>
            <a:off x="5267739" y="646043"/>
            <a:ext cx="489097" cy="472109"/>
          </a:xfrm>
          <a:prstGeom prst="rect">
            <a:avLst/>
          </a:prstGeom>
        </xdr:spPr>
      </xdr:pic>
    </xdr:grpSp>
    <xdr:clientData/>
  </xdr:twoCellAnchor>
  <xdr:twoCellAnchor>
    <xdr:from>
      <xdr:col>13</xdr:col>
      <xdr:colOff>114761</xdr:colOff>
      <xdr:row>2</xdr:row>
      <xdr:rowOff>84047</xdr:rowOff>
    </xdr:from>
    <xdr:to>
      <xdr:col>16</xdr:col>
      <xdr:colOff>304266</xdr:colOff>
      <xdr:row>5</xdr:row>
      <xdr:rowOff>174220</xdr:rowOff>
    </xdr:to>
    <xdr:grpSp>
      <xdr:nvGrpSpPr>
        <xdr:cNvPr id="45" name="Group 44"/>
        <xdr:cNvGrpSpPr/>
      </xdr:nvGrpSpPr>
      <xdr:grpSpPr>
        <a:xfrm>
          <a:off x="8085106" y="451909"/>
          <a:ext cx="2028815" cy="641966"/>
          <a:chOff x="7438777" y="524455"/>
          <a:chExt cx="2013999" cy="736489"/>
        </a:xfrm>
      </xdr:grpSpPr>
      <xdr:sp macro="" textlink="">
        <xdr:nvSpPr>
          <xdr:cNvPr id="13" name="Rounded Rectangle 12"/>
          <xdr:cNvSpPr/>
        </xdr:nvSpPr>
        <xdr:spPr>
          <a:xfrm>
            <a:off x="7438777" y="524455"/>
            <a:ext cx="2013999" cy="73648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8" name="Picture 37" descr="Credit Score Icons - Free SVG &amp; PNG Credit Score Images ..."/>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487480" y="571502"/>
            <a:ext cx="609906" cy="60463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9" name="TextBox 38"/>
          <xdr:cNvSpPr txBox="1"/>
        </xdr:nvSpPr>
        <xdr:spPr>
          <a:xfrm>
            <a:off x="8075544" y="604626"/>
            <a:ext cx="1325218" cy="273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a:t>
            </a:r>
            <a:r>
              <a:rPr lang="en-IN" sz="1100" b="1" baseline="0"/>
              <a:t> CREDIT SCORE</a:t>
            </a:r>
            <a:endParaRPr lang="en-IN" sz="1100" b="1"/>
          </a:p>
        </xdr:txBody>
      </xdr:sp>
      <xdr:pic>
        <xdr:nvPicPr>
          <xdr:cNvPr id="40" name="Picture 39"/>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137986" y="927651"/>
            <a:ext cx="1290272" cy="26504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16</xdr:col>
      <xdr:colOff>352621</xdr:colOff>
      <xdr:row>2</xdr:row>
      <xdr:rowOff>98915</xdr:rowOff>
    </xdr:from>
    <xdr:to>
      <xdr:col>19</xdr:col>
      <xdr:colOff>528077</xdr:colOff>
      <xdr:row>6</xdr:row>
      <xdr:rowOff>16089</xdr:rowOff>
    </xdr:to>
    <xdr:grpSp>
      <xdr:nvGrpSpPr>
        <xdr:cNvPr id="44" name="Group 43"/>
        <xdr:cNvGrpSpPr/>
      </xdr:nvGrpSpPr>
      <xdr:grpSpPr>
        <a:xfrm>
          <a:off x="10162276" y="466777"/>
          <a:ext cx="2014767" cy="652898"/>
          <a:chOff x="9581653" y="554935"/>
          <a:chExt cx="2080260" cy="744110"/>
        </a:xfrm>
      </xdr:grpSpPr>
      <xdr:sp macro="" textlink="">
        <xdr:nvSpPr>
          <xdr:cNvPr id="16" name="Rounded Rectangle 15"/>
          <xdr:cNvSpPr/>
        </xdr:nvSpPr>
        <xdr:spPr>
          <a:xfrm>
            <a:off x="9581653" y="554935"/>
            <a:ext cx="2080260" cy="74411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1" name="Picture 40"/>
          <xdr:cNvPicPr>
            <a:picLocks noChangeAspect="1"/>
          </xdr:cNvPicPr>
        </xdr:nvPicPr>
        <xdr:blipFill>
          <a:blip xmlns:r="http://schemas.openxmlformats.org/officeDocument/2006/relationships" r:embed="rId9"/>
          <a:stretch>
            <a:fillRect/>
          </a:stretch>
        </xdr:blipFill>
        <xdr:spPr>
          <a:xfrm>
            <a:off x="9657521" y="704022"/>
            <a:ext cx="545215" cy="438978"/>
          </a:xfrm>
          <a:prstGeom prst="rect">
            <a:avLst/>
          </a:prstGeom>
        </xdr:spPr>
      </xdr:pic>
      <xdr:pic>
        <xdr:nvPicPr>
          <xdr:cNvPr id="42" name="Picture 41"/>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322746" y="944217"/>
            <a:ext cx="1209291" cy="24847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3" name="TextBox 42"/>
          <xdr:cNvSpPr txBox="1"/>
        </xdr:nvSpPr>
        <xdr:spPr>
          <a:xfrm>
            <a:off x="10121344" y="612911"/>
            <a:ext cx="1466022" cy="2650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TRANSACTION</a:t>
            </a:r>
          </a:p>
        </xdr:txBody>
      </xdr:sp>
    </xdr:grpSp>
    <xdr:clientData/>
  </xdr:twoCellAnchor>
  <xdr:twoCellAnchor>
    <xdr:from>
      <xdr:col>19</xdr:col>
      <xdr:colOff>560263</xdr:colOff>
      <xdr:row>2</xdr:row>
      <xdr:rowOff>98438</xdr:rowOff>
    </xdr:from>
    <xdr:to>
      <xdr:col>23</xdr:col>
      <xdr:colOff>220487</xdr:colOff>
      <xdr:row>6</xdr:row>
      <xdr:rowOff>7330</xdr:rowOff>
    </xdr:to>
    <xdr:grpSp>
      <xdr:nvGrpSpPr>
        <xdr:cNvPr id="25" name="Group 24"/>
        <xdr:cNvGrpSpPr/>
      </xdr:nvGrpSpPr>
      <xdr:grpSpPr>
        <a:xfrm>
          <a:off x="12209229" y="466300"/>
          <a:ext cx="2191465" cy="644616"/>
          <a:chOff x="11123543" y="513138"/>
          <a:chExt cx="2194892" cy="637761"/>
        </a:xfrm>
      </xdr:grpSpPr>
      <xdr:sp macro="" textlink="">
        <xdr:nvSpPr>
          <xdr:cNvPr id="3" name="Rounded Rectangle 2"/>
          <xdr:cNvSpPr/>
        </xdr:nvSpPr>
        <xdr:spPr>
          <a:xfrm>
            <a:off x="11123543" y="513138"/>
            <a:ext cx="2194892" cy="63776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1" name="Picture 10"/>
          <xdr:cNvPicPr>
            <a:picLocks noChangeAspect="1"/>
          </xdr:cNvPicPr>
        </xdr:nvPicPr>
        <xdr:blipFill>
          <a:blip xmlns:r="http://schemas.openxmlformats.org/officeDocument/2006/relationships" r:embed="rId11"/>
          <a:stretch>
            <a:fillRect/>
          </a:stretch>
        </xdr:blipFill>
        <xdr:spPr>
          <a:xfrm>
            <a:off x="11164956" y="596349"/>
            <a:ext cx="496958" cy="496958"/>
          </a:xfrm>
          <a:prstGeom prst="rect">
            <a:avLst/>
          </a:prstGeom>
        </xdr:spPr>
      </xdr:pic>
      <xdr:sp macro="" textlink="">
        <xdr:nvSpPr>
          <xdr:cNvPr id="20" name="TextBox 19"/>
          <xdr:cNvSpPr txBox="1"/>
        </xdr:nvSpPr>
        <xdr:spPr>
          <a:xfrm>
            <a:off x="11595653" y="604625"/>
            <a:ext cx="1706217" cy="273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a:t>
            </a:r>
            <a:r>
              <a:rPr lang="en-IN" sz="1100" baseline="0"/>
              <a:t>. Customer satisfaction</a:t>
            </a:r>
            <a:endParaRPr lang="en-IN" sz="1100"/>
          </a:p>
        </xdr:txBody>
      </xdr:sp>
      <xdr:pic>
        <xdr:nvPicPr>
          <xdr:cNvPr id="49" name="Picture 48"/>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2026332" y="911098"/>
            <a:ext cx="819316" cy="18983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74258</xdr:colOff>
      <xdr:row>6</xdr:row>
      <xdr:rowOff>99867</xdr:rowOff>
    </xdr:from>
    <xdr:to>
      <xdr:col>7</xdr:col>
      <xdr:colOff>49411</xdr:colOff>
      <xdr:row>18</xdr:row>
      <xdr:rowOff>35033</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123478</xdr:colOff>
      <xdr:row>6</xdr:row>
      <xdr:rowOff>91586</xdr:rowOff>
    </xdr:from>
    <xdr:to>
      <xdr:col>15</xdr:col>
      <xdr:colOff>17517</xdr:colOff>
      <xdr:row>18</xdr:row>
      <xdr:rowOff>53676</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82826</xdr:colOff>
      <xdr:row>6</xdr:row>
      <xdr:rowOff>82350</xdr:rowOff>
    </xdr:from>
    <xdr:to>
      <xdr:col>18</xdr:col>
      <xdr:colOff>472966</xdr:colOff>
      <xdr:row>18</xdr:row>
      <xdr:rowOff>52060</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57692</xdr:colOff>
      <xdr:row>18</xdr:row>
      <xdr:rowOff>112434</xdr:rowOff>
    </xdr:from>
    <xdr:to>
      <xdr:col>8</xdr:col>
      <xdr:colOff>43761</xdr:colOff>
      <xdr:row>32</xdr:row>
      <xdr:rowOff>175173</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112816</xdr:colOff>
      <xdr:row>18</xdr:row>
      <xdr:rowOff>120241</xdr:rowOff>
    </xdr:from>
    <xdr:to>
      <xdr:col>13</xdr:col>
      <xdr:colOff>535672</xdr:colOff>
      <xdr:row>33</xdr:row>
      <xdr:rowOff>0</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605201</xdr:colOff>
      <xdr:row>18</xdr:row>
      <xdr:rowOff>121383</xdr:rowOff>
    </xdr:from>
    <xdr:to>
      <xdr:col>21</xdr:col>
      <xdr:colOff>273708</xdr:colOff>
      <xdr:row>32</xdr:row>
      <xdr:rowOff>157655</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525517</xdr:colOff>
      <xdr:row>6</xdr:row>
      <xdr:rowOff>87587</xdr:rowOff>
    </xdr:from>
    <xdr:to>
      <xdr:col>23</xdr:col>
      <xdr:colOff>429171</xdr:colOff>
      <xdr:row>18</xdr:row>
      <xdr:rowOff>35035</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33131</xdr:colOff>
      <xdr:row>2</xdr:row>
      <xdr:rowOff>82826</xdr:rowOff>
    </xdr:from>
    <xdr:to>
      <xdr:col>3</xdr:col>
      <xdr:colOff>18958</xdr:colOff>
      <xdr:row>7</xdr:row>
      <xdr:rowOff>31482</xdr:rowOff>
    </xdr:to>
    <mc:AlternateContent xmlns:mc="http://schemas.openxmlformats.org/markup-compatibility/2006" xmlns:a14="http://schemas.microsoft.com/office/drawing/2010/main">
      <mc:Choice Requires="a14">
        <xdr:graphicFrame macro="">
          <xdr:nvGraphicFramePr>
            <xdr:cNvPr id="56"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3131" y="450688"/>
              <a:ext cx="1825137" cy="868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24848</xdr:colOff>
      <xdr:row>7</xdr:row>
      <xdr:rowOff>41412</xdr:rowOff>
    </xdr:from>
    <xdr:to>
      <xdr:col>3</xdr:col>
      <xdr:colOff>14909</xdr:colOff>
      <xdr:row>20</xdr:row>
      <xdr:rowOff>49696</xdr:rowOff>
    </xdr:to>
    <mc:AlternateContent xmlns:mc="http://schemas.openxmlformats.org/markup-compatibility/2006" xmlns:a14="http://schemas.microsoft.com/office/drawing/2010/main">
      <mc:Choice Requires="a14">
        <xdr:graphicFrame macro="">
          <xdr:nvGraphicFramePr>
            <xdr:cNvPr id="57"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4848" y="1328929"/>
              <a:ext cx="1829371" cy="2399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24848</xdr:colOff>
      <xdr:row>20</xdr:row>
      <xdr:rowOff>74543</xdr:rowOff>
    </xdr:from>
    <xdr:to>
      <xdr:col>3</xdr:col>
      <xdr:colOff>10394</xdr:colOff>
      <xdr:row>25</xdr:row>
      <xdr:rowOff>33130</xdr:rowOff>
    </xdr:to>
    <mc:AlternateContent xmlns:mc="http://schemas.openxmlformats.org/markup-compatibility/2006" xmlns:a14="http://schemas.microsoft.com/office/drawing/2010/main">
      <mc:Choice Requires="a14">
        <xdr:graphicFrame macro="">
          <xdr:nvGraphicFramePr>
            <xdr:cNvPr id="58" name="Internet Banking (Yes/No) 1"/>
            <xdr:cNvGraphicFramePr/>
          </xdr:nvGraphicFramePr>
          <xdr:xfrm>
            <a:off x="0" y="0"/>
            <a:ext cx="0" cy="0"/>
          </xdr:xfrm>
          <a:graphic>
            <a:graphicData uri="http://schemas.microsoft.com/office/drawing/2010/slicer">
              <sle:slicer xmlns:sle="http://schemas.microsoft.com/office/drawing/2010/slicer" name="Internet Banking (Yes/No) 1"/>
            </a:graphicData>
          </a:graphic>
        </xdr:graphicFrame>
      </mc:Choice>
      <mc:Fallback xmlns="">
        <xdr:sp macro="" textlink="">
          <xdr:nvSpPr>
            <xdr:cNvPr id="0" name=""/>
            <xdr:cNvSpPr>
              <a:spLocks noTextEdit="1"/>
            </xdr:cNvSpPr>
          </xdr:nvSpPr>
          <xdr:spPr>
            <a:xfrm>
              <a:off x="24848" y="3753164"/>
              <a:ext cx="1824856" cy="8782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24848</xdr:colOff>
      <xdr:row>25</xdr:row>
      <xdr:rowOff>41415</xdr:rowOff>
    </xdr:from>
    <xdr:to>
      <xdr:col>3</xdr:col>
      <xdr:colOff>14909</xdr:colOff>
      <xdr:row>33</xdr:row>
      <xdr:rowOff>8616</xdr:rowOff>
    </xdr:to>
    <mc:AlternateContent xmlns:mc="http://schemas.openxmlformats.org/markup-compatibility/2006" xmlns:a14="http://schemas.microsoft.com/office/drawing/2010/main">
      <mc:Choice Requires="a14">
        <xdr:graphicFrame macro="">
          <xdr:nvGraphicFramePr>
            <xdr:cNvPr id="59" name="Card Type 2"/>
            <xdr:cNvGraphicFramePr/>
          </xdr:nvGraphicFramePr>
          <xdr:xfrm>
            <a:off x="0" y="0"/>
            <a:ext cx="0" cy="0"/>
          </xdr:xfrm>
          <a:graphic>
            <a:graphicData uri="http://schemas.microsoft.com/office/drawing/2010/slicer">
              <sle:slicer xmlns:sle="http://schemas.microsoft.com/office/drawing/2010/slicer" name="Card Type 2"/>
            </a:graphicData>
          </a:graphic>
        </xdr:graphicFrame>
      </mc:Choice>
      <mc:Fallback xmlns="">
        <xdr:sp macro="" textlink="">
          <xdr:nvSpPr>
            <xdr:cNvPr id="0" name=""/>
            <xdr:cNvSpPr>
              <a:spLocks noTextEdit="1"/>
            </xdr:cNvSpPr>
          </xdr:nvSpPr>
          <xdr:spPr>
            <a:xfrm>
              <a:off x="24848" y="4639691"/>
              <a:ext cx="1829371" cy="1438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0.24857</cdr:x>
      <cdr:y>0.07452</cdr:y>
    </cdr:from>
    <cdr:to>
      <cdr:x>0.6826</cdr:x>
      <cdr:y>0.17158</cdr:y>
    </cdr:to>
    <cdr:sp macro="" textlink="">
      <cdr:nvSpPr>
        <cdr:cNvPr id="2" name="TextBox 1"/>
        <cdr:cNvSpPr txBox="1"/>
      </cdr:nvSpPr>
      <cdr:spPr>
        <a:xfrm xmlns:a="http://schemas.openxmlformats.org/drawingml/2006/main">
          <a:off x="990600" y="163830"/>
          <a:ext cx="1729740" cy="2133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0.25813</cdr:x>
      <cdr:y>0.05026</cdr:y>
    </cdr:from>
    <cdr:to>
      <cdr:x>0.74761</cdr:x>
      <cdr:y>0.17504</cdr:y>
    </cdr:to>
    <cdr:sp macro="" textlink="">
      <cdr:nvSpPr>
        <cdr:cNvPr id="3" name="TextBox 2"/>
        <cdr:cNvSpPr txBox="1"/>
      </cdr:nvSpPr>
      <cdr:spPr>
        <a:xfrm xmlns:a="http://schemas.openxmlformats.org/drawingml/2006/main">
          <a:off x="1028700" y="110490"/>
          <a:ext cx="1950720" cy="2743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0.27151</cdr:x>
      <cdr:y>0.0052</cdr:y>
    </cdr:from>
    <cdr:to>
      <cdr:x>0.69407</cdr:x>
      <cdr:y>0.15771</cdr:y>
    </cdr:to>
    <cdr:sp macro="" textlink="">
      <cdr:nvSpPr>
        <cdr:cNvPr id="4" name="TextBox 3"/>
        <cdr:cNvSpPr txBox="1"/>
      </cdr:nvSpPr>
      <cdr:spPr>
        <a:xfrm xmlns:a="http://schemas.openxmlformats.org/drawingml/2006/main">
          <a:off x="1082040" y="11430"/>
          <a:ext cx="1684020" cy="3352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a:t>Customers</a:t>
          </a:r>
          <a:r>
            <a:rPr lang="en-IN" sz="1400" baseline="0"/>
            <a:t> By cities</a:t>
          </a:r>
        </a:p>
        <a:p xmlns:a="http://schemas.openxmlformats.org/drawingml/2006/main">
          <a:endParaRPr lang="en-IN" sz="1100"/>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0</xdr:col>
      <xdr:colOff>30480</xdr:colOff>
      <xdr:row>8</xdr:row>
      <xdr:rowOff>167641</xdr:rowOff>
    </xdr:from>
    <xdr:to>
      <xdr:col>1</xdr:col>
      <xdr:colOff>807720</xdr:colOff>
      <xdr:row>16</xdr:row>
      <xdr:rowOff>129541</xdr:rowOff>
    </xdr:to>
    <mc:AlternateContent xmlns:mc="http://schemas.openxmlformats.org/markup-compatibility/2006" xmlns:a14="http://schemas.microsoft.com/office/drawing/2010/main">
      <mc:Choice Requires="a14">
        <xdr:graphicFrame macro="">
          <xdr:nvGraphicFramePr>
            <xdr:cNvPr id="2" name="Card Type 1"/>
            <xdr:cNvGraphicFramePr/>
          </xdr:nvGraphicFramePr>
          <xdr:xfrm>
            <a:off x="0" y="0"/>
            <a:ext cx="0" cy="0"/>
          </xdr:xfrm>
          <a:graphic>
            <a:graphicData uri="http://schemas.microsoft.com/office/drawing/2010/slicer">
              <sle:slicer xmlns:sle="http://schemas.microsoft.com/office/drawing/2010/slicer" name="Card Type 1"/>
            </a:graphicData>
          </a:graphic>
        </xdr:graphicFrame>
      </mc:Choice>
      <mc:Fallback xmlns="">
        <xdr:sp macro="" textlink="">
          <xdr:nvSpPr>
            <xdr:cNvPr id="0" name=""/>
            <xdr:cNvSpPr>
              <a:spLocks noTextEdit="1"/>
            </xdr:cNvSpPr>
          </xdr:nvSpPr>
          <xdr:spPr>
            <a:xfrm>
              <a:off x="30480" y="163068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922020</xdr:colOff>
      <xdr:row>10</xdr:row>
      <xdr:rowOff>99060</xdr:rowOff>
    </xdr:from>
    <xdr:to>
      <xdr:col>7</xdr:col>
      <xdr:colOff>472440</xdr:colOff>
      <xdr:row>20</xdr:row>
      <xdr:rowOff>125730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15</xdr:col>
      <xdr:colOff>870857</xdr:colOff>
      <xdr:row>1456</xdr:row>
      <xdr:rowOff>176349</xdr:rowOff>
    </xdr:from>
    <xdr:to>
      <xdr:col>18</xdr:col>
      <xdr:colOff>108857</xdr:colOff>
      <xdr:row>1470</xdr:row>
      <xdr:rowOff>52524</xdr:rowOff>
    </xdr:to>
    <mc:AlternateContent xmlns:mc="http://schemas.openxmlformats.org/markup-compatibility/2006" xmlns:sle15="http://schemas.microsoft.com/office/drawing/2012/slicer">
      <mc:Choice Requires="sle15">
        <xdr:graphicFrame macro="">
          <xdr:nvGraphicFramePr>
            <xdr:cNvPr id="2" name="Customer Satisfaction Rating"/>
            <xdr:cNvGraphicFramePr/>
          </xdr:nvGraphicFramePr>
          <xdr:xfrm>
            <a:off x="0" y="0"/>
            <a:ext cx="0" cy="0"/>
          </xdr:xfrm>
          <a:graphic>
            <a:graphicData uri="http://schemas.microsoft.com/office/drawing/2010/slicer">
              <sle:slicer xmlns:sle="http://schemas.microsoft.com/office/drawing/2010/slicer" name="Customer Satisfaction Rating"/>
            </a:graphicData>
          </a:graphic>
        </xdr:graphicFrame>
      </mc:Choice>
      <mc:Fallback xmlns="">
        <xdr:sp macro="" textlink="">
          <xdr:nvSpPr>
            <xdr:cNvPr id="0" name=""/>
            <xdr:cNvSpPr>
              <a:spLocks noTextEdit="1"/>
            </xdr:cNvSpPr>
          </xdr:nvSpPr>
          <xdr:spPr>
            <a:xfrm>
              <a:off x="16764000" y="26985903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ahul Mahajan" refreshedDate="46169.992954166664" createdVersion="6" refreshedVersion="6" minRefreshableVersion="3" recordCount="1500">
  <cacheSource type="worksheet">
    <worksheetSource name="Table1"/>
  </cacheSource>
  <cacheFields count="14">
    <cacheField name="Customer ID" numFmtId="0">
      <sharedItems/>
    </cacheField>
    <cacheField name="Customer Name" numFmtId="0">
      <sharedItems/>
    </cacheField>
    <cacheField name="Age" numFmtId="0">
      <sharedItems containsSemiMixedTypes="0" containsString="0" containsNumber="1" containsInteger="1" minValue="18" maxValue="70"/>
    </cacheField>
    <cacheField name="Gender" numFmtId="0">
      <sharedItems count="2">
        <s v="Male"/>
        <s v="Female"/>
      </sharedItems>
    </cacheField>
    <cacheField name="City" numFmtId="0">
      <sharedItems count="8">
        <s v="Kolkata"/>
        <s v="Pune"/>
        <s v="Delhi"/>
        <s v="Bangalore"/>
        <s v="Ahmedabad"/>
        <s v="Chennai"/>
        <s v="Hyderabad"/>
        <s v="Mumbai"/>
      </sharedItems>
    </cacheField>
    <cacheField name="Account Type" numFmtId="0">
      <sharedItems count="4">
        <s v="Savings"/>
        <s v="Fixed Deposit"/>
        <s v="Current"/>
        <s v="Salary"/>
      </sharedItems>
    </cacheField>
    <cacheField name="Account Balance" numFmtId="0">
      <sharedItems containsSemiMixedTypes="0" containsString="0" containsNumber="1" minValue="5292.46" maxValue="1499732.56" count="1500">
        <n v="42391.08"/>
        <n v="760506.16"/>
        <n v="243690.68"/>
        <n v="519213.81"/>
        <n v="1058334.8999999999"/>
        <n v="1251995.0900000001"/>
        <n v="1484337.41"/>
        <n v="320419.34999999998"/>
        <n v="844245.36"/>
        <n v="75438.98"/>
        <n v="1413934.14"/>
        <n v="9851.75"/>
        <n v="811371.65"/>
        <n v="362981.2"/>
        <n v="401259.66"/>
        <n v="185901.27"/>
        <n v="1358602.92"/>
        <n v="1212208.01"/>
        <n v="1093679.31"/>
        <n v="1312356.5"/>
        <n v="324552.21000000002"/>
        <n v="1493156.92"/>
        <n v="717798.83"/>
        <n v="1412686.21"/>
        <n v="474704.87"/>
        <n v="1494164.19"/>
        <n v="1251448.71"/>
        <n v="832069.34"/>
        <n v="1244875.3899999999"/>
        <n v="1417851.15"/>
        <n v="1348977.33"/>
        <n v="247940.14"/>
        <n v="1053410.8899999999"/>
        <n v="991749.61"/>
        <n v="1455748.91"/>
        <n v="289167.77"/>
        <n v="996764.28"/>
        <n v="999069.5"/>
        <n v="872077.25"/>
        <n v="951246.58"/>
        <n v="1275357.8500000001"/>
        <n v="1032995.51"/>
        <n v="1203117.82"/>
        <n v="1128906.3"/>
        <n v="355567.9"/>
        <n v="499667.68"/>
        <n v="1131445.31"/>
        <n v="586341.52"/>
        <n v="645776.09"/>
        <n v="420993.64"/>
        <n v="1172943.4099999999"/>
        <n v="848134.52"/>
        <n v="1017634.19"/>
        <n v="1175039.8400000001"/>
        <n v="955199.73"/>
        <n v="372015.28"/>
        <n v="733887.15"/>
        <n v="735423.88"/>
        <n v="368741.22"/>
        <n v="380848.5"/>
        <n v="1465027.5"/>
        <n v="803531.96"/>
        <n v="663500.85"/>
        <n v="946021.33"/>
        <n v="1187157.54"/>
        <n v="153354.19"/>
        <n v="678503.04"/>
        <n v="939461.72"/>
        <n v="1189979.71"/>
        <n v="743223.85"/>
        <n v="1291472.72"/>
        <n v="1495433.49"/>
        <n v="1042042.14"/>
        <n v="1455426.17"/>
        <n v="750247.19"/>
        <n v="915263.14"/>
        <n v="1249054.04"/>
        <n v="578461.09"/>
        <n v="427844.28"/>
        <n v="817427.94"/>
        <n v="712099.49"/>
        <n v="1268333.94"/>
        <n v="1040593.37"/>
        <n v="1028177.36"/>
        <n v="489940.13"/>
        <n v="1306905.2"/>
        <n v="19049.16"/>
        <n v="687969.54"/>
        <n v="989053.57"/>
        <n v="289247.32"/>
        <n v="139749.4"/>
        <n v="1121106.23"/>
        <n v="25808.39"/>
        <n v="931222.57"/>
        <n v="1419660.99"/>
        <n v="1091265.73"/>
        <n v="1426079.98"/>
        <n v="1237165.67"/>
        <n v="311782.33"/>
        <n v="812622.11"/>
        <n v="401724.42"/>
        <n v="336216.89"/>
        <n v="737951.94"/>
        <n v="798182.47"/>
        <n v="1241991.74"/>
        <n v="132619.71"/>
        <n v="637290.6"/>
        <n v="340246.08"/>
        <n v="413539.23"/>
        <n v="798071.62"/>
        <n v="928668.08"/>
        <n v="175157.17"/>
        <n v="16492.189999999999"/>
        <n v="648829.24"/>
        <n v="1382137.84"/>
        <n v="1202976.6200000001"/>
        <n v="468860.47"/>
        <n v="223934.11"/>
        <n v="966272.79"/>
        <n v="457716.55"/>
        <n v="434180.16"/>
        <n v="716065.4"/>
        <n v="1486524.1"/>
        <n v="972721.51"/>
        <n v="216435.43"/>
        <n v="1244293.6599999999"/>
        <n v="515889.86"/>
        <n v="1315207.19"/>
        <n v="360107.65"/>
        <n v="1019068.7"/>
        <n v="963562.66"/>
        <n v="225286.24"/>
        <n v="357488.22"/>
        <n v="711320.12"/>
        <n v="915275.75"/>
        <n v="1358194.59"/>
        <n v="364643.54"/>
        <n v="1471653.94"/>
        <n v="821290.55"/>
        <n v="1415689.7"/>
        <n v="1131169.92"/>
        <n v="662406.27"/>
        <n v="905667.68"/>
        <n v="642043.53"/>
        <n v="612284.30000000005"/>
        <n v="552661.06999999995"/>
        <n v="796542.52"/>
        <n v="394133.21"/>
        <n v="1348525.15"/>
        <n v="1065797.8700000001"/>
        <n v="44294.62"/>
        <n v="720604.34"/>
        <n v="520049.6"/>
        <n v="247140.6"/>
        <n v="457722.79"/>
        <n v="1423077.55"/>
        <n v="1208008.79"/>
        <n v="513587.89"/>
        <n v="702376.49"/>
        <n v="1400958.55"/>
        <n v="760639.47"/>
        <n v="1271522.69"/>
        <n v="296009.68"/>
        <n v="1480247.56"/>
        <n v="1206928.95"/>
        <n v="1264689.8799999999"/>
        <n v="168858.86"/>
        <n v="259915.53"/>
        <n v="631076.55000000005"/>
        <n v="790588.34"/>
        <n v="839339.54"/>
        <n v="1083888.25"/>
        <n v="123149.01"/>
        <n v="882311.6"/>
        <n v="1157295.26"/>
        <n v="93448.07"/>
        <n v="745598.93"/>
        <n v="788856.21"/>
        <n v="974186.58"/>
        <n v="134672.97"/>
        <n v="404156.52"/>
        <n v="243776.65"/>
        <n v="685193.12"/>
        <n v="545868.38"/>
        <n v="312075.21999999997"/>
        <n v="840401.81"/>
        <n v="1052075.3899999999"/>
        <n v="1149912.3899999999"/>
        <n v="1312457.81"/>
        <n v="1011882.29"/>
        <n v="1088910.8"/>
        <n v="672429.39"/>
        <n v="1490257.74"/>
        <n v="416355.11"/>
        <n v="615347.47"/>
        <n v="621952.85"/>
        <n v="805775.13"/>
        <n v="1361014.08"/>
        <n v="485814.44"/>
        <n v="1472071.09"/>
        <n v="832200.79"/>
        <n v="1415479.49"/>
        <n v="822086.76"/>
        <n v="947898.96"/>
        <n v="800657.67"/>
        <n v="227601.74"/>
        <n v="368595.8"/>
        <n v="716627.62"/>
        <n v="1039970.13"/>
        <n v="220566.38"/>
        <n v="214226.14"/>
        <n v="909727.27"/>
        <n v="650612.68000000005"/>
        <n v="1068957.3500000001"/>
        <n v="157835.96"/>
        <n v="897402.21"/>
        <n v="407033.85"/>
        <n v="1416612.33"/>
        <n v="1263212.01"/>
        <n v="1447039.06"/>
        <n v="592438.02"/>
        <n v="1247766.3"/>
        <n v="115577.88"/>
        <n v="988114.46"/>
        <n v="336891.61"/>
        <n v="884941.99"/>
        <n v="517884.69"/>
        <n v="1216227.98"/>
        <n v="1437901.62"/>
        <n v="586309.49"/>
        <n v="175362.68"/>
        <n v="689501.58"/>
        <n v="278651.55"/>
        <n v="1041682.23"/>
        <n v="1298955.74"/>
        <n v="668558.36"/>
        <n v="256472.42"/>
        <n v="1484714.71"/>
        <n v="1490966.74"/>
        <n v="1209133.54"/>
        <n v="1223695.45"/>
        <n v="1243580.3"/>
        <n v="1320787"/>
        <n v="1100422.42"/>
        <n v="744598.85"/>
        <n v="1176915.19"/>
        <n v="1323810.9099999999"/>
        <n v="461736.32"/>
        <n v="343155.34"/>
        <n v="138549.97"/>
        <n v="847120.37"/>
        <n v="214319.65"/>
        <n v="903493.6"/>
        <n v="86580.85"/>
        <n v="583323.18000000005"/>
        <n v="327535.69"/>
        <n v="468310.79"/>
        <n v="361762.9"/>
        <n v="1053741.92"/>
        <n v="1158288.28"/>
        <n v="1289742.8799999999"/>
        <n v="710288.06"/>
        <n v="483303.03"/>
        <n v="700315.8"/>
        <n v="459344.41"/>
        <n v="353331.62"/>
        <n v="1441971.67"/>
        <n v="873252.09"/>
        <n v="475938.33"/>
        <n v="250740.6"/>
        <n v="240634.99"/>
        <n v="78181.17"/>
        <n v="213990.59"/>
        <n v="300636.75"/>
        <n v="652568.78"/>
        <n v="671787.09"/>
        <n v="631756.06000000006"/>
        <n v="756077.92"/>
        <n v="1151429.04"/>
        <n v="1487355.17"/>
        <n v="815476.28"/>
        <n v="1210635.8899999999"/>
        <n v="1270488.93"/>
        <n v="1099866.28"/>
        <n v="445303.31"/>
        <n v="160644.79999999999"/>
        <n v="401492.6"/>
        <n v="1453807.23"/>
        <n v="1199795.8799999999"/>
        <n v="117128.62"/>
        <n v="156380.43"/>
        <n v="859795.86"/>
        <n v="314394.71000000002"/>
        <n v="818468.41"/>
        <n v="406500.18"/>
        <n v="1301006.55"/>
        <n v="1458386.49"/>
        <n v="105182.87"/>
        <n v="226558.61"/>
        <n v="730949.26"/>
        <n v="78690.009999999995"/>
        <n v="151835"/>
        <n v="321028.8"/>
        <n v="608060.79"/>
        <n v="80586.13"/>
        <n v="893095.17"/>
        <n v="79228.31"/>
        <n v="1024888.6"/>
        <n v="1278121.33"/>
        <n v="166616.26999999999"/>
        <n v="364251.61"/>
        <n v="585471.01"/>
        <n v="839580.83"/>
        <n v="1307791.19"/>
        <n v="872568.1"/>
        <n v="1488560.04"/>
        <n v="948393.99"/>
        <n v="653398.56000000006"/>
        <n v="1250676.8600000001"/>
        <n v="885062.68"/>
        <n v="1126422.8"/>
        <n v="977557.87"/>
        <n v="628079.47"/>
        <n v="995412.03"/>
        <n v="915457.7"/>
        <n v="1400020.9"/>
        <n v="156429.26999999999"/>
        <n v="1311839.97"/>
        <n v="972561.95"/>
        <n v="1443653.35"/>
        <n v="626961.43999999994"/>
        <n v="1331952.92"/>
        <n v="376622.61"/>
        <n v="1128387.8500000001"/>
        <n v="1202885.6299999999"/>
        <n v="825902.69"/>
        <n v="1267254.57"/>
        <n v="1245676.4099999999"/>
        <n v="1115053.78"/>
        <n v="166109.79"/>
        <n v="1259030.0900000001"/>
        <n v="911210.36"/>
        <n v="204390.89"/>
        <n v="1382181.69"/>
        <n v="1341329.67"/>
        <n v="303854.11"/>
        <n v="681628.78"/>
        <n v="1435269.45"/>
        <n v="1065770.45"/>
        <n v="1103943.83"/>
        <n v="1065985.5"/>
        <n v="480199.21"/>
        <n v="996685.04"/>
        <n v="922483.14"/>
        <n v="1234053.05"/>
        <n v="809272.37"/>
        <n v="1409927.91"/>
        <n v="381602.46"/>
        <n v="1011581.6"/>
        <n v="455519.31"/>
        <n v="1196171.8"/>
        <n v="861214.3"/>
        <n v="335078.01"/>
        <n v="300139.3"/>
        <n v="678715.74"/>
        <n v="1179561.8700000001"/>
        <n v="461680.34"/>
        <n v="1338697.25"/>
        <n v="227206.31"/>
        <n v="1027821.68"/>
        <n v="351466.11"/>
        <n v="489486.31"/>
        <n v="1347848.79"/>
        <n v="1331322.06"/>
        <n v="905020.31"/>
        <n v="972652.56"/>
        <n v="1384058.07"/>
        <n v="1301617.0900000001"/>
        <n v="107920.13"/>
        <n v="63359.66"/>
        <n v="69940.23"/>
        <n v="1149959.04"/>
        <n v="181153.76"/>
        <n v="384180.93"/>
        <n v="840845.28"/>
        <n v="1424121.54"/>
        <n v="710144.65"/>
        <n v="783903.29"/>
        <n v="779639.16"/>
        <n v="1495241.63"/>
        <n v="840875.23"/>
        <n v="613666.27"/>
        <n v="1156100.95"/>
        <n v="1184040.75"/>
        <n v="1012178.39"/>
        <n v="1026245.43"/>
        <n v="929802.36"/>
        <n v="741048.86"/>
        <n v="1199908.53"/>
        <n v="17585.810000000001"/>
        <n v="1437997.59"/>
        <n v="859257.53"/>
        <n v="1438926.14"/>
        <n v="853912.61"/>
        <n v="543658.34"/>
        <n v="1011423.3"/>
        <n v="920403.66"/>
        <n v="596205.71"/>
        <n v="355767.65"/>
        <n v="598533.72"/>
        <n v="429842.04"/>
        <n v="813173.32"/>
        <n v="344557.02"/>
        <n v="706450.94"/>
        <n v="824577.23"/>
        <n v="939857.91"/>
        <n v="169982.74"/>
        <n v="38085.67"/>
        <n v="329696.19"/>
        <n v="591670.55000000005"/>
        <n v="1462583.46"/>
        <n v="945600.56"/>
        <n v="1460044.72"/>
        <n v="1176295.48"/>
        <n v="94778.240000000005"/>
        <n v="968745.74"/>
        <n v="659062.51"/>
        <n v="236763.09"/>
        <n v="361985.9"/>
        <n v="170143.88"/>
        <n v="152636.60999999999"/>
        <n v="985345.3"/>
        <n v="402394.37"/>
        <n v="791657.07"/>
        <n v="1189730.0900000001"/>
        <n v="951695.03"/>
        <n v="5292.46"/>
        <n v="475782.49"/>
        <n v="401157.33"/>
        <n v="1190391.77"/>
        <n v="525155.66"/>
        <n v="482378.23"/>
        <n v="438225.63"/>
        <n v="1161868.58"/>
        <n v="1166273.99"/>
        <n v="892846.34"/>
        <n v="563862.07999999996"/>
        <n v="171360.6"/>
        <n v="1004049.57"/>
        <n v="1418038.84"/>
        <n v="765267.8"/>
        <n v="1383793.82"/>
        <n v="417438.03"/>
        <n v="210204.71"/>
        <n v="497280.68"/>
        <n v="986066.47"/>
        <n v="1320797.19"/>
        <n v="1144858.99"/>
        <n v="1170840.24"/>
        <n v="343278.22"/>
        <n v="1301357.8600000001"/>
        <n v="594255.31000000006"/>
        <n v="809114.37"/>
        <n v="1242293.4099999999"/>
        <n v="174191.52"/>
        <n v="1344213.39"/>
        <n v="132533.28"/>
        <n v="990997.86"/>
        <n v="275140.56"/>
        <n v="13597.07"/>
        <n v="14826.67"/>
        <n v="59897.97"/>
        <n v="1009775.29"/>
        <n v="1346807.02"/>
        <n v="623568.06999999995"/>
        <n v="864838.32"/>
        <n v="181719.67"/>
        <n v="958067.8"/>
        <n v="503257.92"/>
        <n v="58159.59"/>
        <n v="1018905.45"/>
        <n v="1475510.06"/>
        <n v="134762.69"/>
        <n v="60905.58"/>
        <n v="787823.8"/>
        <n v="785905.59"/>
        <n v="990181.51"/>
        <n v="482128.94"/>
        <n v="826301.66"/>
        <n v="708749.69"/>
        <n v="1227075.76"/>
        <n v="1028294.57"/>
        <n v="1376310.31"/>
        <n v="260348.31"/>
        <n v="604220.63"/>
        <n v="888500.45"/>
        <n v="697048.11"/>
        <n v="991946.31"/>
        <n v="869007.47"/>
        <n v="609275.14"/>
        <n v="650414.67000000004"/>
        <n v="835355.26"/>
        <n v="220273.85"/>
        <n v="830314.8"/>
        <n v="553620.18999999994"/>
        <n v="121960.73"/>
        <n v="771431.35"/>
        <n v="847740.88"/>
        <n v="760866.18"/>
        <n v="1365646.58"/>
        <n v="1451181.72"/>
        <n v="1102869.8600000001"/>
        <n v="1120495.07"/>
        <n v="1391197.68"/>
        <n v="404296.28"/>
        <n v="1010838.78"/>
        <n v="55892.43"/>
        <n v="1146967.3600000001"/>
        <n v="1384429.61"/>
        <n v="577284.51"/>
        <n v="591988.5"/>
        <n v="114014.66"/>
        <n v="1051582.52"/>
        <n v="9944.5"/>
        <n v="140547.13"/>
        <n v="451811.17"/>
        <n v="42920.09"/>
        <n v="509889.31"/>
        <n v="735897.59999999998"/>
        <n v="150451.9"/>
        <n v="1218223.94"/>
        <n v="185514.51"/>
        <n v="1271813.23"/>
        <n v="892627.13"/>
        <n v="1039051.99"/>
        <n v="1479972.27"/>
        <n v="1195936.3899999999"/>
        <n v="504770.47"/>
        <n v="110934.95"/>
        <n v="151605.88"/>
        <n v="1392191.24"/>
        <n v="1039854.74"/>
        <n v="239398.25"/>
        <n v="1256298.5900000001"/>
        <n v="629568.92000000004"/>
        <n v="364564.68"/>
        <n v="28815.599999999999"/>
        <n v="1307969.94"/>
        <n v="1048592.2"/>
        <n v="551558.32999999996"/>
        <n v="975312.41"/>
        <n v="637279.04"/>
        <n v="1418321.16"/>
        <n v="168500.56"/>
        <n v="633094.31000000006"/>
        <n v="1181302.42"/>
        <n v="344039"/>
        <n v="1069159.2"/>
        <n v="194077.9"/>
        <n v="1463321.19"/>
        <n v="821487.65"/>
        <n v="1018622.46"/>
        <n v="963762.42"/>
        <n v="1436647.43"/>
        <n v="562382.56999999995"/>
        <n v="1209480.81"/>
        <n v="790325.06"/>
        <n v="1249264.17"/>
        <n v="8657.7800000000007"/>
        <n v="1148253.94"/>
        <n v="1100771.1200000001"/>
        <n v="412642.18"/>
        <n v="1309302.49"/>
        <n v="425719.55"/>
        <n v="1346099.82"/>
        <n v="1385497.58"/>
        <n v="182302.35"/>
        <n v="1177124.44"/>
        <n v="69705.84"/>
        <n v="222607.68"/>
        <n v="1146049.83"/>
        <n v="281763.03999999998"/>
        <n v="1476996.06"/>
        <n v="580247.77"/>
        <n v="109065.69"/>
        <n v="989529.65"/>
        <n v="894466.44"/>
        <n v="906732.32"/>
        <n v="944414.69"/>
        <n v="493799.05"/>
        <n v="396189.58"/>
        <n v="567623.16"/>
        <n v="586675.32999999996"/>
        <n v="888612.45"/>
        <n v="1215282.3700000001"/>
        <n v="375182.83"/>
        <n v="60879.54"/>
        <n v="857678.54"/>
        <n v="548184.79"/>
        <n v="606030.89"/>
        <n v="524238.15"/>
        <n v="775477"/>
        <n v="1214355.55"/>
        <n v="1120918.1100000001"/>
        <n v="388387.72"/>
        <n v="1486983.19"/>
        <n v="68137.399999999994"/>
        <n v="987858.75"/>
        <n v="1160920.3700000001"/>
        <n v="1455035.6"/>
        <n v="373288.3"/>
        <n v="1009039.9"/>
        <n v="1391623.56"/>
        <n v="1319803.54"/>
        <n v="1315758.03"/>
        <n v="1144153.29"/>
        <n v="127936.92"/>
        <n v="394716.42"/>
        <n v="1327090.44"/>
        <n v="257290.15"/>
        <n v="655562.31000000006"/>
        <n v="743781.4"/>
        <n v="48015.81"/>
        <n v="1307808"/>
        <n v="82908.350000000006"/>
        <n v="559497.31000000006"/>
        <n v="479389.49"/>
        <n v="1354675.05"/>
        <n v="227188.11"/>
        <n v="1483283.78"/>
        <n v="1253255.72"/>
        <n v="749675.61"/>
        <n v="126189.54"/>
        <n v="1499732.56"/>
        <n v="575179.43999999994"/>
        <n v="606582.37"/>
        <n v="303807.53000000003"/>
        <n v="641895.56000000006"/>
        <n v="1361275.53"/>
        <n v="1376366.51"/>
        <n v="29321.7"/>
        <n v="1087521.55"/>
        <n v="392679.92"/>
        <n v="610611.93999999994"/>
        <n v="290249.11"/>
        <n v="1155733.1100000001"/>
        <n v="367731.32"/>
        <n v="602522.16"/>
        <n v="1334265.19"/>
        <n v="351994.15"/>
        <n v="1103204.03"/>
        <n v="740817.67"/>
        <n v="266198.62"/>
        <n v="732116.12"/>
        <n v="1444157.43"/>
        <n v="239763.66"/>
        <n v="306826.03999999998"/>
        <n v="1074223.6200000001"/>
        <n v="1428001.61"/>
        <n v="1473007.66"/>
        <n v="832647.59"/>
        <n v="1183570.6599999999"/>
        <n v="588040.34"/>
        <n v="244240.87"/>
        <n v="763711.57"/>
        <n v="430380.56"/>
        <n v="545094.96"/>
        <n v="121718.67"/>
        <n v="1098916.8600000001"/>
        <n v="53748.05"/>
        <n v="65221.8"/>
        <n v="886488.24"/>
        <n v="71800.3"/>
        <n v="694099.57"/>
        <n v="813786.7"/>
        <n v="132302.29"/>
        <n v="1181201.78"/>
        <n v="274859.46999999997"/>
        <n v="387054.02"/>
        <n v="450546.38"/>
        <n v="897521.91"/>
        <n v="102860.03"/>
        <n v="671743.47"/>
        <n v="67479.16"/>
        <n v="1498866.59"/>
        <n v="1049151.82"/>
        <n v="995104.16"/>
        <n v="1010696.07"/>
        <n v="567682.79"/>
        <n v="336173.54"/>
        <n v="1451108.28"/>
        <n v="752986.83"/>
        <n v="1283941.04"/>
        <n v="1414895.96"/>
        <n v="1139737.46"/>
        <n v="127304.31"/>
        <n v="98951.97"/>
        <n v="1438409.97"/>
        <n v="1375488"/>
        <n v="88405.99"/>
        <n v="645018.07999999996"/>
        <n v="894786.79"/>
        <n v="210820.7"/>
        <n v="517635.97"/>
        <n v="1464883.6"/>
        <n v="630949.46"/>
        <n v="702472.45"/>
        <n v="547411.63"/>
        <n v="300748.37"/>
        <n v="36385.67"/>
        <n v="1215184.22"/>
        <n v="291563.53000000003"/>
        <n v="84622.17"/>
        <n v="585233.18999999994"/>
        <n v="713268.44"/>
        <n v="640409.17000000004"/>
        <n v="530604.55000000005"/>
        <n v="748826.88"/>
        <n v="822244.58"/>
        <n v="1014285.45"/>
        <n v="1175776.74"/>
        <n v="1124959.93"/>
        <n v="1156345.94"/>
        <n v="752201.32"/>
        <n v="53152.45"/>
        <n v="286566.32"/>
        <n v="1035091.7"/>
        <n v="109619.25"/>
        <n v="719985.46"/>
        <n v="756200.16"/>
        <n v="1365902.3"/>
        <n v="1236027.26"/>
        <n v="1418802.61"/>
        <n v="186239.78"/>
        <n v="71729.570000000007"/>
        <n v="1065103.9099999999"/>
        <n v="1263135.99"/>
        <n v="21759.87"/>
        <n v="465944.76"/>
        <n v="635415.68000000005"/>
        <n v="771187.65"/>
        <n v="538081.61"/>
        <n v="421294.15"/>
        <n v="901801.38"/>
        <n v="31384.95"/>
        <n v="1108180.3600000001"/>
        <n v="61670.54"/>
        <n v="436240.38"/>
        <n v="946524.86"/>
        <n v="825526.42"/>
        <n v="268771.08"/>
        <n v="255810.23"/>
        <n v="1360153.27"/>
        <n v="565844.59"/>
        <n v="753546.21"/>
        <n v="111495.36"/>
        <n v="735489.66"/>
        <n v="948274.31"/>
        <n v="142997.18"/>
        <n v="456818.25"/>
        <n v="318240.7"/>
        <n v="983509.18"/>
        <n v="1222483.83"/>
        <n v="124315.65"/>
        <n v="402790.72"/>
        <n v="1136582.8999999999"/>
        <n v="90576.11"/>
        <n v="1426837.6"/>
        <n v="543507.39"/>
        <n v="1286364.5"/>
        <n v="1011227.93"/>
        <n v="1416593.77"/>
        <n v="390154.67"/>
        <n v="568630.43000000005"/>
        <n v="171516.87"/>
        <n v="887139.38"/>
        <n v="1279281.23"/>
        <n v="466792.68"/>
        <n v="503051.1"/>
        <n v="990579.21"/>
        <n v="1091498.1299999999"/>
        <n v="689011.09"/>
        <n v="18653.11"/>
        <n v="1461367.35"/>
        <n v="365078.85"/>
        <n v="184400.58"/>
        <n v="275739.40999999997"/>
        <n v="34520.85"/>
        <n v="900658.4"/>
        <n v="388856.92"/>
        <n v="1419590.85"/>
        <n v="995612.41"/>
        <n v="935357.55"/>
        <n v="1410598"/>
        <n v="477958.71"/>
        <n v="613137.99"/>
        <n v="1469330.39"/>
        <n v="1298770.53"/>
        <n v="195720.44"/>
        <n v="1461877.27"/>
        <n v="417355.35"/>
        <n v="119656.35"/>
        <n v="1398999.92"/>
        <n v="1055374.6100000001"/>
        <n v="1259916.3600000001"/>
        <n v="1150788.8"/>
        <n v="1239462.44"/>
        <n v="534069.65"/>
        <n v="1348272.39"/>
        <n v="645370.5"/>
        <n v="1325946.52"/>
        <n v="302492.93"/>
        <n v="1436729.5"/>
        <n v="17003.189999999999"/>
        <n v="176954.89"/>
        <n v="953543.4"/>
        <n v="81178.27"/>
        <n v="643473.88"/>
        <n v="5801.21"/>
        <n v="504751.81"/>
        <n v="417540.69"/>
        <n v="1413017.91"/>
        <n v="1068846.68"/>
        <n v="1397341.83"/>
        <n v="599253.27"/>
        <n v="244204.57"/>
        <n v="830465.63"/>
        <n v="965407.62"/>
        <n v="615472.61"/>
        <n v="808396.1"/>
        <n v="309858.36"/>
        <n v="691788.22"/>
        <n v="594325.02"/>
        <n v="1212949.1299999999"/>
        <n v="1408204.6"/>
        <n v="1339123.49"/>
        <n v="158708.89000000001"/>
        <n v="225327.88"/>
        <n v="1434917.4"/>
        <n v="505591.88"/>
        <n v="556823.18999999994"/>
        <n v="1196291.8600000001"/>
        <n v="580601.01"/>
        <n v="748167.93"/>
        <n v="9284.83"/>
        <n v="213327.17"/>
        <n v="1057424.47"/>
        <n v="241468.93"/>
        <n v="1123420.1499999999"/>
        <n v="1322329.93"/>
        <n v="638387.04"/>
        <n v="1234644.92"/>
        <n v="560359.81999999995"/>
        <n v="164164.49"/>
        <n v="849371.24"/>
        <n v="296351.14"/>
        <n v="1195123.6000000001"/>
        <n v="983059.12"/>
        <n v="1284649.07"/>
        <n v="1306333.93"/>
        <n v="548175.76"/>
        <n v="734947.2"/>
        <n v="622725.38"/>
        <n v="241517.68"/>
        <n v="1350689.14"/>
        <n v="516923.2"/>
        <n v="962123.49"/>
        <n v="1302690.8"/>
        <n v="451013.52"/>
        <n v="448872.95"/>
        <n v="1341200.04"/>
        <n v="478029.72"/>
        <n v="1119832.77"/>
        <n v="1432881.16"/>
        <n v="531555.78"/>
        <n v="248172.42"/>
        <n v="29557.61"/>
        <n v="1166435.98"/>
        <n v="1174383.1000000001"/>
        <n v="44238.99"/>
        <n v="293027.3"/>
        <n v="241873.26"/>
        <n v="43332.14"/>
        <n v="1167496.67"/>
        <n v="943019.82"/>
        <n v="143701.82999999999"/>
        <n v="1439029.67"/>
        <n v="853104.31"/>
        <n v="911135.61"/>
        <n v="333542.86"/>
        <n v="746223.55"/>
        <n v="1150841.06"/>
        <n v="912907"/>
        <n v="443742.95"/>
        <n v="113597.3"/>
        <n v="853366.53"/>
        <n v="1419675.24"/>
        <n v="1205074.1599999999"/>
        <n v="431130.19"/>
        <n v="29327.08"/>
        <n v="75373.789999999994"/>
        <n v="20542.060000000001"/>
        <n v="556474.9"/>
        <n v="399272.06"/>
        <n v="878274.8"/>
        <n v="1097642.55"/>
        <n v="95099.06"/>
        <n v="1143595.79"/>
        <n v="1462721.7"/>
        <n v="1427484.42"/>
        <n v="47736.44"/>
        <n v="649118.39"/>
        <n v="269084.43"/>
        <n v="864969.6"/>
        <n v="1319893.8700000001"/>
        <n v="1362134.75"/>
        <n v="1350304.49"/>
        <n v="1141589.82"/>
        <n v="853063.76"/>
        <n v="1103548.43"/>
        <n v="1337601.76"/>
        <n v="51202.49"/>
        <n v="819650.05"/>
        <n v="66444.47"/>
        <n v="1391213.38"/>
        <n v="28310.639999999999"/>
        <n v="1251994.53"/>
        <n v="1377798.46"/>
        <n v="897573"/>
        <n v="455088.09"/>
        <n v="1042729.42"/>
        <n v="1436450.17"/>
        <n v="592025.68999999994"/>
        <n v="503557.76"/>
        <n v="845263.63"/>
        <n v="305046.31"/>
        <n v="761177.73"/>
        <n v="956114.76"/>
        <n v="1438841.66"/>
        <n v="688338.01"/>
        <n v="418971.54"/>
        <n v="531041.17000000004"/>
        <n v="567901.49"/>
        <n v="49135.16"/>
        <n v="1093603.92"/>
        <n v="911767.29"/>
        <n v="659084.71"/>
        <n v="215141.08"/>
        <n v="1242225.73"/>
        <n v="121824.99"/>
        <n v="1383798.63"/>
        <n v="89689.06"/>
        <n v="505139.16"/>
        <n v="1356964.18"/>
        <n v="160571.51999999999"/>
        <n v="1173824.73"/>
        <n v="647429.38"/>
        <n v="351889.97"/>
        <n v="660641.04"/>
        <n v="986602.47"/>
        <n v="442561.7"/>
        <n v="309314.63"/>
        <n v="663214.73"/>
        <n v="94281.46"/>
        <n v="280718.06"/>
        <n v="514711.86"/>
        <n v="1080234.19"/>
        <n v="1426696.01"/>
        <n v="379517.35"/>
        <n v="18261.7"/>
        <n v="474469.67"/>
        <n v="224618.17"/>
        <n v="345788.87"/>
        <n v="668499.96"/>
        <n v="493178.11"/>
        <n v="439854.59"/>
        <n v="229361.66"/>
        <n v="782902.32"/>
        <n v="1123541.48"/>
        <n v="728811.01"/>
        <n v="515649.85"/>
        <n v="185579.32"/>
        <n v="1484950.56"/>
        <n v="182949.32"/>
        <n v="677381.8"/>
        <n v="557961.49"/>
        <n v="848376.35"/>
        <n v="1430502.93"/>
        <n v="414403.51"/>
        <n v="830484.35"/>
        <n v="426347.1"/>
        <n v="742417.05"/>
        <n v="763054.96"/>
        <n v="839464.58"/>
        <n v="401602.64"/>
        <n v="738583.27"/>
        <n v="1431731.16"/>
        <n v="332301.14"/>
        <n v="992616.23"/>
        <n v="763693.67"/>
        <n v="640672.92000000004"/>
        <n v="860896.02"/>
        <n v="1058572.1299999999"/>
        <n v="438830.29"/>
        <n v="1188058.48"/>
        <n v="201133.82"/>
        <n v="884352.71"/>
        <n v="1454047.27"/>
        <n v="762357.29"/>
        <n v="352012.74"/>
        <n v="1413429.45"/>
        <n v="1112064.1399999999"/>
        <n v="472959.18"/>
        <n v="25368.66"/>
        <n v="789260.7"/>
        <n v="924575.23"/>
        <n v="1390983.99"/>
        <n v="105236.78"/>
        <n v="893709.42"/>
        <n v="462096.73"/>
        <n v="398091.74"/>
        <n v="1176130.55"/>
        <n v="1344450.25"/>
        <n v="569077.78"/>
        <n v="1260614.77"/>
        <n v="701783.44"/>
        <n v="544682.11"/>
        <n v="964302.72"/>
        <n v="1313030.56"/>
        <n v="667850.12"/>
        <n v="1359058.5"/>
        <n v="754780.91"/>
        <n v="843036.28"/>
        <n v="134194.39000000001"/>
        <n v="465134.57"/>
        <n v="214936.98"/>
        <n v="737379.06"/>
        <n v="319940.88"/>
        <n v="320029.37"/>
        <n v="569975.68000000005"/>
        <n v="973582.56"/>
        <n v="712990.25"/>
        <n v="1162238.31"/>
        <n v="1183911.28"/>
        <n v="989619.86"/>
        <n v="235436.22"/>
        <n v="567555.91"/>
        <n v="1347541.83"/>
        <n v="1152926.67"/>
        <n v="320792.34999999998"/>
        <n v="723574.83"/>
        <n v="609687.96"/>
        <n v="86494.38"/>
        <n v="272365.15000000002"/>
        <n v="923707.57"/>
        <n v="1031149.52"/>
        <n v="672921.37"/>
        <n v="193451.67"/>
        <n v="562329.02"/>
        <n v="1425786.53"/>
        <n v="78002.67"/>
        <n v="430944.2"/>
        <n v="341113.03"/>
        <n v="517711.33"/>
        <n v="992744.25"/>
        <n v="476430.44"/>
        <n v="836877.03"/>
        <n v="1488235.7"/>
        <n v="482508.23"/>
        <n v="432993.72"/>
        <n v="1026610.91"/>
        <n v="931780.84"/>
        <n v="1428009.89"/>
        <n v="1406025.63"/>
        <n v="668261.53"/>
        <n v="15290.55"/>
        <n v="185868.05"/>
        <n v="1076353.81"/>
        <n v="986522.81"/>
        <n v="1129991.2"/>
        <n v="226295.84"/>
        <n v="662594.22"/>
        <n v="226803.23"/>
        <n v="754137.46"/>
        <n v="1420687.64"/>
        <n v="1369490.25"/>
        <n v="105460.6"/>
        <n v="1110456.49"/>
        <n v="289071.18"/>
        <n v="873999.3"/>
        <n v="716673.53"/>
        <n v="954224.17"/>
        <n v="1427396.37"/>
        <n v="1340583.97"/>
        <n v="810192.19"/>
        <n v="1391689.49"/>
        <n v="981968.49"/>
        <n v="534130.68999999994"/>
        <n v="970460.11"/>
        <n v="644110.03"/>
        <n v="491597.14"/>
        <n v="565653.35"/>
        <n v="490195.55"/>
        <n v="861236.09"/>
        <n v="671531.36"/>
        <n v="1122737.17"/>
        <n v="658624.34"/>
        <n v="1461470.17"/>
        <n v="701244.17"/>
        <n v="444251.61"/>
        <n v="1152829.3600000001"/>
        <n v="155840.26"/>
        <n v="306543.63"/>
        <n v="1422280.48"/>
        <n v="191350.73"/>
        <n v="540793.57999999996"/>
        <n v="15847.11"/>
        <n v="347891.46"/>
        <n v="18864.55"/>
        <n v="1235759.8"/>
        <n v="310094.96000000002"/>
        <n v="1103751.51"/>
        <n v="632724.9"/>
        <n v="196656.92"/>
        <n v="199062.38"/>
        <n v="281017"/>
        <n v="871156"/>
        <n v="56000.49"/>
        <n v="682524.42"/>
        <n v="733595.95"/>
        <n v="146402.35999999999"/>
        <n v="1476545.99"/>
        <n v="534135.06000000006"/>
        <n v="1022193.37"/>
        <n v="587709.74"/>
        <n v="835857.28"/>
        <n v="243367.3"/>
        <n v="1110784.2"/>
        <n v="1158628.76"/>
        <n v="575345.06000000006"/>
        <n v="906957.52"/>
        <n v="1264275.8700000001"/>
        <n v="1209957.28"/>
        <n v="166157.53"/>
        <n v="1183263.8500000001"/>
        <n v="1419194.89"/>
        <n v="671780.45"/>
        <n v="1172547.5"/>
        <n v="960980.35"/>
        <n v="659464.80000000005"/>
        <n v="809690.27"/>
        <n v="1382281.2"/>
        <n v="236742.66"/>
        <n v="448705.74"/>
        <n v="1061585.1599999999"/>
        <n v="1242034.6000000001"/>
        <n v="969224.11"/>
        <n v="38062.199999999997"/>
        <n v="1421289.94"/>
        <n v="1013628.09"/>
        <n v="540732.52"/>
        <n v="975863.49"/>
        <n v="518226.53"/>
        <n v="343827.11"/>
        <n v="147758.03"/>
        <n v="956540.23"/>
        <n v="1320109.56"/>
        <n v="1026132.92"/>
        <n v="1416296.6"/>
        <n v="92643.16"/>
        <n v="207536.12"/>
        <n v="160956.16"/>
        <n v="1123037.82"/>
        <n v="1446459.73"/>
        <n v="1339072.3400000001"/>
        <n v="1386846.79"/>
        <n v="238113.84"/>
        <n v="623391.57999999996"/>
        <n v="1035801.56"/>
        <n v="1433199.22"/>
        <n v="1425562.57"/>
        <n v="1250476.6299999999"/>
        <n v="1151351.32"/>
        <n v="304970.7"/>
        <n v="1083165.72"/>
        <n v="102371.36"/>
        <n v="13822.9"/>
        <n v="1366663.13"/>
        <n v="685201.5"/>
        <n v="1323496.55"/>
        <n v="1261002.3500000001"/>
        <n v="492386.42"/>
        <n v="463813.98"/>
        <n v="829781.15"/>
        <n v="262649.48"/>
        <n v="1302705"/>
        <n v="1304848.29"/>
        <n v="936731.37"/>
        <n v="625702.88"/>
        <n v="1134731.8999999999"/>
        <n v="1455593.58"/>
        <n v="1017672.87"/>
        <n v="744651.1"/>
        <n v="82756.55"/>
        <n v="502713.7"/>
        <n v="1044455.98"/>
        <n v="830812.06"/>
        <n v="165039.16"/>
        <n v="514996.54"/>
        <n v="303284.36"/>
        <n v="123720.88"/>
        <n v="889759.02"/>
        <n v="1459221.96"/>
        <n v="762448.41"/>
        <n v="98860.55"/>
        <n v="1158222.23"/>
        <n v="1146301.6599999999"/>
        <n v="1270490"/>
        <n v="213450.88"/>
        <n v="589981.01"/>
        <n v="912203.37"/>
        <n v="717666.88"/>
        <n v="511177.86"/>
        <n v="1455793.9"/>
        <n v="834718.64"/>
        <n v="707280.05"/>
        <n v="402680.94"/>
        <n v="9564.58"/>
        <n v="970533.16"/>
        <n v="1279788.01"/>
        <n v="672794.22"/>
        <n v="911780.99"/>
        <n v="476326.75"/>
        <n v="489401.17"/>
        <n v="786556.97"/>
        <n v="741221.27"/>
        <n v="1145332.29"/>
        <n v="1138998.98"/>
        <n v="1073539.55"/>
        <n v="125538.02"/>
        <n v="564579.37"/>
        <n v="431645.69"/>
        <n v="312346.86"/>
        <n v="348566.02"/>
        <n v="1420458.64"/>
        <n v="165356.07999999999"/>
        <n v="854325.81"/>
        <n v="38479.83"/>
        <n v="173317.22"/>
        <n v="234175.81"/>
        <n v="986631.99"/>
        <n v="1036064.42"/>
        <n v="899083.37"/>
        <n v="605659.89"/>
        <n v="1327734.6599999999"/>
        <n v="1248859.57"/>
        <n v="67757.740000000005"/>
        <n v="1255520.83"/>
        <n v="967633.89"/>
        <n v="612149.21"/>
        <n v="282642.59999999998"/>
        <n v="453822.14"/>
        <n v="51405.279999999999"/>
        <n v="1444338.55"/>
        <n v="509387.13"/>
        <n v="892176.45"/>
        <n v="982284.96"/>
        <n v="903674.92"/>
        <n v="1118073.51"/>
        <n v="669776.29"/>
        <n v="647810.31999999995"/>
        <n v="636271.56999999995"/>
        <n v="247183.01"/>
        <n v="178195.49"/>
        <n v="1000537.23"/>
        <n v="714765.53"/>
        <n v="1484851.06"/>
        <n v="650647.19999999995"/>
        <n v="1424334.92"/>
        <n v="51216.45"/>
        <n v="976999.46"/>
        <n v="1260064.02"/>
        <n v="777911.38"/>
        <n v="290943.53000000003"/>
        <n v="1336372.8400000001"/>
        <n v="1085500.1000000001"/>
        <n v="1076976.97"/>
        <n v="1475882.01"/>
        <n v="1472458.57"/>
        <n v="545195.72"/>
        <n v="637779.5"/>
        <n v="929376.29"/>
        <n v="1449767.57"/>
        <n v="1268846.49"/>
        <n v="466198.88"/>
        <n v="1332737.03"/>
        <n v="751053.07"/>
        <n v="474746.61"/>
        <n v="101718.96"/>
        <n v="1364236.11"/>
        <n v="880314.4"/>
        <n v="1374195.63"/>
        <n v="1307158.03"/>
        <n v="708021.3"/>
        <n v="272202.23999999999"/>
        <n v="261832.85"/>
        <n v="1270572.99"/>
        <n v="247319.92"/>
        <n v="595550.30000000005"/>
        <n v="752091.41"/>
        <n v="563567.01"/>
        <n v="217761.42"/>
        <n v="1439629.45"/>
        <n v="1331134.56"/>
        <n v="468960.95"/>
        <n v="608101.02"/>
        <n v="652945.22"/>
        <n v="954631.01"/>
        <n v="1430571.69"/>
        <n v="1288966.77"/>
        <n v="1218476.22"/>
        <n v="1168552.69"/>
        <n v="1203502.33"/>
        <n v="761236.27"/>
        <n v="1163574.23"/>
        <n v="181748.47"/>
        <n v="1207771.6200000001"/>
        <n v="645671.21"/>
        <n v="1377534.94"/>
        <n v="5318.61"/>
        <n v="212230.93"/>
        <n v="511293.12"/>
        <n v="467442.51"/>
        <n v="1497347.45"/>
        <n v="1004062.67"/>
        <n v="103752.75"/>
        <n v="493727.74"/>
        <n v="1313903.83"/>
        <n v="18791.59"/>
        <n v="502114.29"/>
        <n v="687372.37"/>
        <n v="888386.03"/>
        <n v="347685.16"/>
        <n v="1303476.1599999999"/>
        <n v="843328.3"/>
        <n v="199166.83"/>
        <n v="545337.29"/>
        <n v="1169103.98"/>
        <n v="923477.18"/>
        <n v="1454286.06"/>
        <n v="586970.92000000004"/>
        <n v="1122862.8400000001"/>
        <n v="59387.33"/>
        <n v="205449.03"/>
        <n v="53557.74"/>
        <n v="1446296.61"/>
        <n v="117291.93"/>
        <n v="901321.18"/>
        <n v="122864.1"/>
        <n v="471278.83"/>
        <n v="68574.649999999994"/>
        <n v="1377653.91"/>
        <n v="1023709.75"/>
        <n v="1001989.02"/>
        <n v="1334903.71"/>
        <n v="867040.94"/>
        <n v="1098222.46"/>
        <n v="515328.7"/>
        <n v="1022070.22"/>
        <n v="1423968.8"/>
        <n v="170072.65"/>
        <n v="340352.03"/>
        <n v="30632.93"/>
        <n v="411359.1"/>
        <n v="1137816.7"/>
        <n v="1036008.48"/>
        <n v="1207866.82"/>
        <n v="73476.13"/>
        <n v="159272.66"/>
        <n v="664715.36"/>
        <n v="884996.22"/>
        <n v="1035050.06"/>
        <n v="347847.2"/>
        <n v="36935.29"/>
        <n v="693978.4"/>
        <n v="99585.63"/>
        <n v="240513.82"/>
        <n v="992472.35"/>
        <n v="1158855.25"/>
        <n v="1051903.02"/>
        <n v="765081.89"/>
        <n v="208589.03"/>
        <n v="111795.67"/>
        <n v="1149391.77"/>
        <n v="289680.92"/>
        <n v="1009906.95"/>
        <n v="866695.59"/>
        <n v="705967.21"/>
        <n v="515526.27"/>
        <n v="407766.87"/>
        <n v="63867.11"/>
        <n v="405376.98"/>
        <n v="750178.6"/>
        <n v="102968.18"/>
        <n v="1135936.79"/>
        <n v="440979.85"/>
        <n v="1083080.57"/>
        <n v="1189180.19"/>
        <n v="753949.9"/>
        <n v="960426.52"/>
        <n v="1325802.97"/>
        <n v="190049.31"/>
        <n v="1499168.15"/>
        <n v="1441306.21"/>
        <n v="881204.97"/>
        <n v="748540.73"/>
        <n v="521959.89"/>
        <n v="797183.34"/>
        <n v="761249.62"/>
        <n v="1286629.53"/>
        <n v="645860.93999999994"/>
        <n v="1485436.1"/>
        <n v="1410762.31"/>
        <n v="167616.65"/>
        <n v="459489.26"/>
        <n v="321881.32"/>
        <n v="1062783.0900000001"/>
        <n v="1060711.6499999999"/>
        <n v="1176378.49"/>
        <n v="166990.53"/>
        <n v="236726.22"/>
        <n v="346024.98"/>
        <n v="1346389.94"/>
        <n v="541289.68000000005"/>
        <n v="844882.12"/>
        <n v="292101.15000000002"/>
        <n v="339483.35"/>
        <n v="117209.83"/>
        <n v="422474.38"/>
        <n v="964899.46"/>
        <n v="425843.93"/>
        <n v="1199007.1599999999"/>
        <n v="399001.08"/>
        <n v="1406176.33"/>
        <n v="1391114.37"/>
        <n v="332212.25"/>
        <n v="673996.58"/>
        <n v="767851.59"/>
        <n v="708245.05"/>
        <n v="142941.47"/>
        <n v="739502.24"/>
        <n v="511014.55"/>
        <n v="96327.97"/>
        <n v="131107"/>
        <n v="505901.27"/>
        <n v="599906.01"/>
        <n v="1338803.96"/>
        <n v="509892.83"/>
        <n v="1369813.48"/>
        <n v="811208.8"/>
        <n v="997219.83999999997"/>
        <n v="867322.39"/>
        <n v="1044774.93"/>
        <n v="256039.89"/>
        <n v="594130.17000000004"/>
        <n v="1402131.79"/>
        <n v="255680.6"/>
        <n v="842100.61"/>
        <n v="1135201.9099999999"/>
        <n v="900506.56"/>
        <n v="594823.48"/>
        <n v="1329717.83"/>
        <n v="1439901.32"/>
        <n v="577483.93000000005"/>
        <n v="199014.96"/>
        <n v="1369774.82"/>
        <n v="741604.23"/>
        <n v="1263156.6299999999"/>
        <n v="14355.05"/>
        <n v="1239597.08"/>
        <n v="55515.01"/>
        <n v="931843.59"/>
        <n v="228808.5"/>
        <n v="1209050.22"/>
        <n v="1318602.71"/>
        <n v="244425.44"/>
        <n v="275094.48"/>
        <n v="858972.13"/>
        <n v="1304200.3799999999"/>
        <n v="1093813.67"/>
        <n v="1364914.09"/>
        <n v="828235.1"/>
        <n v="736209.32"/>
        <n v="384574.89"/>
        <n v="265624.2"/>
        <n v="493680.77"/>
        <n v="549639.37"/>
        <n v="761343.52"/>
        <n v="1257592.4099999999"/>
        <n v="104280.61"/>
      </sharedItems>
    </cacheField>
    <cacheField name="Loan Amount" numFmtId="0">
      <sharedItems containsSemiMixedTypes="0" containsString="0" containsNumber="1" minValue="676.85" maxValue="2499014.37" count="1500">
        <n v="687573.3"/>
        <n v="66339.92"/>
        <n v="1056536"/>
        <n v="661302.17000000004"/>
        <n v="114560.96000000001"/>
        <n v="406635.24"/>
        <n v="1599999.4"/>
        <n v="2357274.29"/>
        <n v="656854.02"/>
        <n v="274122.83"/>
        <n v="1700708.53"/>
        <n v="1805230.15"/>
        <n v="1946566.2"/>
        <n v="602178.98"/>
        <n v="2181082.6"/>
        <n v="561743.34"/>
        <n v="2149088.5"/>
        <n v="476024.79"/>
        <n v="2001481.28"/>
        <n v="188462.22"/>
        <n v="1002600.73"/>
        <n v="1389420.81"/>
        <n v="2298467.83"/>
        <n v="1424188.53"/>
        <n v="664036.28"/>
        <n v="183151.8"/>
        <n v="1758849.81"/>
        <n v="680870.53"/>
        <n v="110216.9"/>
        <n v="1727549.06"/>
        <n v="1990305.76"/>
        <n v="1999717.57"/>
        <n v="956354.31"/>
        <n v="996164.95"/>
        <n v="446419.54"/>
        <n v="110966.33"/>
        <n v="311563.28999999998"/>
        <n v="947863.19"/>
        <n v="1636764.06"/>
        <n v="837970.64"/>
        <n v="182070.57"/>
        <n v="2231649.5699999998"/>
        <n v="1668944.33"/>
        <n v="2099657.2200000002"/>
        <n v="839618.84"/>
        <n v="1164810.76"/>
        <n v="2133619.88"/>
        <n v="1672184.05"/>
        <n v="2167128.39"/>
        <n v="2378010.2999999998"/>
        <n v="1629386.64"/>
        <n v="544911.35"/>
        <n v="2395432.1"/>
        <n v="868009.41"/>
        <n v="2071768.28"/>
        <n v="2336554.7000000002"/>
        <n v="887062.42"/>
        <n v="1895411.63"/>
        <n v="1659900.05"/>
        <n v="301639.71000000002"/>
        <n v="1311592.17"/>
        <n v="685778.32"/>
        <n v="460909.18"/>
        <n v="134022.69"/>
        <n v="564217.84"/>
        <n v="1906842.76"/>
        <n v="1484527.99"/>
        <n v="1652957.61"/>
        <n v="1487610.09"/>
        <n v="201104.63"/>
        <n v="1467807.33"/>
        <n v="1089712.47"/>
        <n v="720544.49"/>
        <n v="1010437.64"/>
        <n v="1105102.3899999999"/>
        <n v="598243.66"/>
        <n v="1245938.76"/>
        <n v="2304670.37"/>
        <n v="746389.62"/>
        <n v="1138361.54"/>
        <n v="2283575.42"/>
        <n v="249279.24"/>
        <n v="1624591.63"/>
        <n v="718447.51"/>
        <n v="140298.07"/>
        <n v="1549275.92"/>
        <n v="2011582.69"/>
        <n v="755304.18"/>
        <n v="686200.95"/>
        <n v="626567"/>
        <n v="737776.13"/>
        <n v="846788.13"/>
        <n v="1341430.77"/>
        <n v="2357922.84"/>
        <n v="760911.46"/>
        <n v="2213534.46"/>
        <n v="2138625.48"/>
        <n v="229183.56"/>
        <n v="2074544.59"/>
        <n v="1996284.56"/>
        <n v="316896.36"/>
        <n v="1537767.09"/>
        <n v="2274252.0699999998"/>
        <n v="1134288.54"/>
        <n v="996825.46"/>
        <n v="1079691.3"/>
        <n v="2289609.1800000002"/>
        <n v="270545.95"/>
        <n v="1906023.79"/>
        <n v="940486.01"/>
        <n v="1684921.78"/>
        <n v="1074784.08"/>
        <n v="753548.41"/>
        <n v="322964.25"/>
        <n v="2155275.0299999998"/>
        <n v="1545313.16"/>
        <n v="848783.2"/>
        <n v="493179.51"/>
        <n v="2466329.87"/>
        <n v="686684.17"/>
        <n v="1611666.17"/>
        <n v="377152.69"/>
        <n v="1310171.3799999999"/>
        <n v="164779.64000000001"/>
        <n v="874551.97"/>
        <n v="1846936.68"/>
        <n v="1915390.52"/>
        <n v="1545078.66"/>
        <n v="1110496.77"/>
        <n v="1426048.48"/>
        <n v="2185292.36"/>
        <n v="1093681.3999999999"/>
        <n v="2486313.38"/>
        <n v="2077776.21"/>
        <n v="1058136.8999999999"/>
        <n v="1491847.61"/>
        <n v="1041418.99"/>
        <n v="634125.65"/>
        <n v="2033772.16"/>
        <n v="92459.48"/>
        <n v="477758.58"/>
        <n v="2391196.79"/>
        <n v="2055853.2"/>
        <n v="1724412.02"/>
        <n v="1282715.05"/>
        <n v="957136"/>
        <n v="995085.11"/>
        <n v="1115682.78"/>
        <n v="1112777.98"/>
        <n v="1750548.14"/>
        <n v="1385053.59"/>
        <n v="1026987.8"/>
        <n v="2194900.38"/>
        <n v="2336844.59"/>
        <n v="1333695.07"/>
        <n v="1927555.92"/>
        <n v="1712477.1"/>
        <n v="359171.73"/>
        <n v="668679.18999999994"/>
        <n v="1802821.07"/>
        <n v="2416716.58"/>
        <n v="1077319.42"/>
        <n v="1383057.32"/>
        <n v="1394579.6"/>
        <n v="1298331.78"/>
        <n v="1484311.64"/>
        <n v="1041350.67"/>
        <n v="1572563.1"/>
        <n v="1032400.27"/>
        <n v="784381.5"/>
        <n v="562167.59"/>
        <n v="719473.44"/>
        <n v="2310024.08"/>
        <n v="606145.1"/>
        <n v="12953.62"/>
        <n v="1921812.48"/>
        <n v="2341521.86"/>
        <n v="2223149.91"/>
        <n v="1796495.43"/>
        <n v="1673139.63"/>
        <n v="824063.26"/>
        <n v="1715184.05"/>
        <n v="2472094.9"/>
        <n v="2293111.77"/>
        <n v="1457869.2"/>
        <n v="1681919.28"/>
        <n v="1352908.76"/>
        <n v="2445833.21"/>
        <n v="332474.52"/>
        <n v="1361113.35"/>
        <n v="282111.59999999998"/>
        <n v="1680059.09"/>
        <n v="585403.79"/>
        <n v="1391795.3"/>
        <n v="749721.24"/>
        <n v="1041269.67"/>
        <n v="2073515.71"/>
        <n v="757970.06"/>
        <n v="707647.99"/>
        <n v="1173726.06"/>
        <n v="1460079.75"/>
        <n v="843910.71"/>
        <n v="460119.43"/>
        <n v="169919.85"/>
        <n v="1028346.27"/>
        <n v="479830.14"/>
        <n v="1743090.79"/>
        <n v="1591870.19"/>
        <n v="1416960.37"/>
        <n v="2051726.85"/>
        <n v="2471194.89"/>
        <n v="1534663.08"/>
        <n v="1699237.15"/>
        <n v="1584752.2"/>
        <n v="218243.08"/>
        <n v="1961096.81"/>
        <n v="671016.99"/>
        <n v="1802248.63"/>
        <n v="949724.89"/>
        <n v="2421813.0499999998"/>
        <n v="284719.56"/>
        <n v="172896.68"/>
        <n v="2476751.54"/>
        <n v="887522.05"/>
        <n v="1867132.57"/>
        <n v="1251164.45"/>
        <n v="1960674.99"/>
        <n v="287713.17"/>
        <n v="579638.87"/>
        <n v="1761839.04"/>
        <n v="1676753.57"/>
        <n v="431318.78"/>
        <n v="1733591.35"/>
        <n v="1613150.24"/>
        <n v="2379604.88"/>
        <n v="418133.72"/>
        <n v="1143303.47"/>
        <n v="256041.1"/>
        <n v="1939079.12"/>
        <n v="1425185.86"/>
        <n v="338972.27"/>
        <n v="1903683.97"/>
        <n v="232736.96"/>
        <n v="1827329.84"/>
        <n v="807162.87"/>
        <n v="1148954.4099999999"/>
        <n v="754663.76"/>
        <n v="1748603.43"/>
        <n v="1699956.81"/>
        <n v="2014892.08"/>
        <n v="1525798.1"/>
        <n v="307893.06"/>
        <n v="1802949.1"/>
        <n v="2244781.4"/>
        <n v="2097433.2599999998"/>
        <n v="2306448.2200000002"/>
        <n v="1278261.75"/>
        <n v="611199.38"/>
        <n v="409581.58"/>
        <n v="73390.63"/>
        <n v="417203.48"/>
        <n v="957448.69"/>
        <n v="2064992.49"/>
        <n v="705767.18"/>
        <n v="1556793.81"/>
        <n v="866059.24"/>
        <n v="2431398.09"/>
        <n v="1263569.4099999999"/>
        <n v="2002042.05"/>
        <n v="1165137.78"/>
        <n v="1715137.11"/>
        <n v="747101.78"/>
        <n v="29892.31"/>
        <n v="1614967.24"/>
        <n v="1811077.1200000001"/>
        <n v="371578.52"/>
        <n v="1606631.31"/>
        <n v="970953.19"/>
        <n v="2499014.37"/>
        <n v="434280.08"/>
        <n v="438891.92"/>
        <n v="851897.61"/>
        <n v="2151673.67"/>
        <n v="1092170.96"/>
        <n v="444270.72"/>
        <n v="1240462.6399999999"/>
        <n v="623852.16"/>
        <n v="2211379.9900000002"/>
        <n v="83531.97"/>
        <n v="2354585.36"/>
        <n v="513876.19"/>
        <n v="2099636.2599999998"/>
        <n v="1595476.65"/>
        <n v="462203.05"/>
        <n v="154098.42000000001"/>
        <n v="1187060.97"/>
        <n v="2021151.8"/>
        <n v="970247.88"/>
        <n v="1469835.33"/>
        <n v="1522405.38"/>
        <n v="1188045.48"/>
        <n v="2172250.06"/>
        <n v="2059923.59"/>
        <n v="1951291.07"/>
        <n v="900937.7"/>
        <n v="443959.24"/>
        <n v="2134553.3199999998"/>
        <n v="1185243.02"/>
        <n v="1147495.05"/>
        <n v="159592.63"/>
        <n v="141936.69"/>
        <n v="88297.51"/>
        <n v="734460.13"/>
        <n v="1051181.42"/>
        <n v="1551636.74"/>
        <n v="856674.71"/>
        <n v="442060.67"/>
        <n v="1073524.31"/>
        <n v="476441.77"/>
        <n v="417550.47"/>
        <n v="412208.77"/>
        <n v="93408.57"/>
        <n v="950634.41"/>
        <n v="674942.87"/>
        <n v="1944897.29"/>
        <n v="826509.04"/>
        <n v="639730.26"/>
        <n v="2130621.71"/>
        <n v="821652.07"/>
        <n v="679582.73"/>
        <n v="1476875.76"/>
        <n v="1101719.7"/>
        <n v="864373.72"/>
        <n v="801584.54"/>
        <n v="1120246.46"/>
        <n v="2064771.9"/>
        <n v="829931.56"/>
        <n v="2411084.21"/>
        <n v="1023026.89"/>
        <n v="1036175.86"/>
        <n v="1207329.9099999999"/>
        <n v="804609.4"/>
        <n v="1031863.68"/>
        <n v="331679.32"/>
        <n v="1334757.01"/>
        <n v="1875462.55"/>
        <n v="1540272.08"/>
        <n v="2439556.81"/>
        <n v="919352.8"/>
        <n v="298384.53000000003"/>
        <n v="387014.24"/>
        <n v="549905.04"/>
        <n v="827666.34"/>
        <n v="1552829.24"/>
        <n v="937395.11"/>
        <n v="18326.47"/>
        <n v="1867227.06"/>
        <n v="176105.23"/>
        <n v="1337085.93"/>
        <n v="216263.05"/>
        <n v="2123668.6"/>
        <n v="985204.25"/>
        <n v="2086870.92"/>
        <n v="1451489.13"/>
        <n v="1540856.08"/>
        <n v="1780497.82"/>
        <n v="1379179.57"/>
        <n v="2123968.1800000002"/>
        <n v="981245.86"/>
        <n v="1893015.18"/>
        <n v="660892.79"/>
        <n v="1759340.63"/>
        <n v="194593.68"/>
        <n v="16494.22"/>
        <n v="2042387.69"/>
        <n v="1027248.02"/>
        <n v="1291601.73"/>
        <n v="426416.96"/>
        <n v="945528.38"/>
        <n v="1959670.59"/>
        <n v="1324541.3"/>
        <n v="2275213.39"/>
        <n v="17985.13"/>
        <n v="2137442.3199999998"/>
        <n v="1209400.3899999999"/>
        <n v="250696.54"/>
        <n v="1500613.6"/>
        <n v="1779014.58"/>
        <n v="486866.24"/>
        <n v="1949182.2"/>
        <n v="1457331.04"/>
        <n v="266162.39"/>
        <n v="1893683.21"/>
        <n v="550955.81000000006"/>
        <n v="2052686.72"/>
        <n v="2274818.65"/>
        <n v="389988.92"/>
        <n v="2463403.3199999998"/>
        <n v="1195800.19"/>
        <n v="1685257.65"/>
        <n v="857741.15"/>
        <n v="2448181.13"/>
        <n v="373870.14"/>
        <n v="996004.75"/>
        <n v="1393728.72"/>
        <n v="1218734.3600000001"/>
        <n v="1011931.8"/>
        <n v="2219229.52"/>
        <n v="629117.53"/>
        <n v="1912490.93"/>
        <n v="1566201.71"/>
        <n v="681036.07"/>
        <n v="223885.06"/>
        <n v="20792.78"/>
        <n v="471427.45"/>
        <n v="1291525.1499999999"/>
        <n v="1138357.53"/>
        <n v="2430831.5099999998"/>
        <n v="1050607.57"/>
        <n v="1357979.88"/>
        <n v="617905.48"/>
        <n v="105464.79"/>
        <n v="589914.59"/>
        <n v="1188176.7"/>
        <n v="888794.19"/>
        <n v="868294.35"/>
        <n v="736786.49"/>
        <n v="739181.65"/>
        <n v="1802508.91"/>
        <n v="1308001.3500000001"/>
        <n v="1427530.45"/>
        <n v="2321009.2999999998"/>
        <n v="101632.88"/>
        <n v="621907.56999999995"/>
        <n v="1374913.67"/>
        <n v="2065387.44"/>
        <n v="86657.26"/>
        <n v="1928807.68"/>
        <n v="2224063.38"/>
        <n v="432256.23"/>
        <n v="2042854.25"/>
        <n v="1412282.23"/>
        <n v="985806.01"/>
        <n v="325937.94"/>
        <n v="808529.1"/>
        <n v="60517.08"/>
        <n v="1894334.46"/>
        <n v="1125153.93"/>
        <n v="941516.67"/>
        <n v="166494.48000000001"/>
        <n v="1774222"/>
        <n v="762318.81"/>
        <n v="155024.24"/>
        <n v="1824724.16"/>
        <n v="1355584.38"/>
        <n v="1412110.72"/>
        <n v="1035100.39"/>
        <n v="1529953.99"/>
        <n v="335216.57"/>
        <n v="1021472.9"/>
        <n v="1224857.25"/>
        <n v="2347847.83"/>
        <n v="2459576.61"/>
        <n v="1153367.9099999999"/>
        <n v="1946827.85"/>
        <n v="2206371.12"/>
        <n v="1768197.8"/>
        <n v="375224.34"/>
        <n v="2246354.7799999998"/>
        <n v="2206757.2999999998"/>
        <n v="2205419.66"/>
        <n v="2134573.2200000002"/>
        <n v="1527724.39"/>
        <n v="2050661.86"/>
        <n v="524613.42000000004"/>
        <n v="1558110.37"/>
        <n v="1162214.0900000001"/>
        <n v="28243.17"/>
        <n v="990123.32"/>
        <n v="339384.74"/>
        <n v="1387943.02"/>
        <n v="1566277.12"/>
        <n v="2192621.83"/>
        <n v="505246.03"/>
        <n v="1938833.02"/>
        <n v="10274.67"/>
        <n v="781202"/>
        <n v="1102789.06"/>
        <n v="677630.25"/>
        <n v="1688739.8400000001"/>
        <n v="1782246.71"/>
        <n v="1775539.76"/>
        <n v="825819.89"/>
        <n v="1919853.79"/>
        <n v="1033604.76"/>
        <n v="1960784.94"/>
        <n v="1387719.25"/>
        <n v="226332.51"/>
        <n v="489166.55"/>
        <n v="318889.24"/>
        <n v="1475409.69"/>
        <n v="2108319.1800000002"/>
        <n v="2212221.71"/>
        <n v="1125114.42"/>
        <n v="2445583.62"/>
        <n v="2224788.7000000002"/>
        <n v="1173080.98"/>
        <n v="153544.41"/>
        <n v="2128613.14"/>
        <n v="1847418.08"/>
        <n v="1488860.23"/>
        <n v="862689.3"/>
        <n v="1881069.63"/>
        <n v="1122051.56"/>
        <n v="245691.97"/>
        <n v="2079223.75"/>
        <n v="1548493.06"/>
        <n v="1619764.6"/>
        <n v="690958.91"/>
        <n v="831636.84"/>
        <n v="1613707.94"/>
        <n v="1428361.4"/>
        <n v="2261543.86"/>
        <n v="2385388.36"/>
        <n v="1336565.74"/>
        <n v="975261.81"/>
        <n v="2490958.9"/>
        <n v="1802529.97"/>
        <n v="47657.52"/>
        <n v="1528064.72"/>
        <n v="2455481.88"/>
        <n v="353092.01"/>
        <n v="1531103.76"/>
        <n v="709328.86"/>
        <n v="1490679.93"/>
        <n v="2441978.7000000002"/>
        <n v="1713109.39"/>
        <n v="2012884.19"/>
        <n v="588249.57999999996"/>
        <n v="1844369.67"/>
        <n v="1137477.18"/>
        <n v="149129.29999999999"/>
        <n v="1986413.5"/>
        <n v="697927.2"/>
        <n v="110560.49"/>
        <n v="1396217.42"/>
        <n v="1672589.02"/>
        <n v="1567027.39"/>
        <n v="1531253.09"/>
        <n v="1547833.63"/>
        <n v="1843450.16"/>
        <n v="136149.99"/>
        <n v="2021989.69"/>
        <n v="689856.84"/>
        <n v="1844273.11"/>
        <n v="1215370.98"/>
        <n v="929755.79"/>
        <n v="713116.46"/>
        <n v="651017.99"/>
        <n v="1334107.3899999999"/>
        <n v="1268522.58"/>
        <n v="292190.24"/>
        <n v="1458578.6"/>
        <n v="2439598.77"/>
        <n v="711625.91"/>
        <n v="2425901.6800000002"/>
        <n v="838541.86"/>
        <n v="723657.92"/>
        <n v="656692.56000000006"/>
        <n v="1232625.56"/>
        <n v="43862.7"/>
        <n v="1048785.01"/>
        <n v="2067054.99"/>
        <n v="1947019.61"/>
        <n v="1533570.9"/>
        <n v="1198795.57"/>
        <n v="321786.2"/>
        <n v="194338.24"/>
        <n v="754114.51"/>
        <n v="1865495.03"/>
        <n v="1322096.8500000001"/>
        <n v="1683814.25"/>
        <n v="309038.51"/>
        <n v="1142364.42"/>
        <n v="2102645.69"/>
        <n v="212514.78"/>
        <n v="2476653.2999999998"/>
        <n v="1011109"/>
        <n v="336520.95"/>
        <n v="756881.53"/>
        <n v="859039.12"/>
        <n v="1149140.6000000001"/>
        <n v="1910027.85"/>
        <n v="944494.26"/>
        <n v="1459917.45"/>
        <n v="1620207.06"/>
        <n v="1644419.47"/>
        <n v="806053.42"/>
        <n v="1089977.83"/>
        <n v="564714.93999999994"/>
        <n v="191653.98"/>
        <n v="1678900.62"/>
        <n v="2131936.62"/>
        <n v="1913825.2"/>
        <n v="1503080.67"/>
        <n v="1055047.82"/>
        <n v="1806184.99"/>
        <n v="225765.73"/>
        <n v="783525.82"/>
        <n v="1098688.53"/>
        <n v="694334.41"/>
        <n v="632457.24"/>
        <n v="2294816.73"/>
        <n v="1916852.25"/>
        <n v="2050603.28"/>
        <n v="1603431.99"/>
        <n v="394556.1"/>
        <n v="1718667.18"/>
        <n v="561217.82999999996"/>
        <n v="1002587.28"/>
        <n v="2299972.62"/>
        <n v="325498.33"/>
        <n v="2440320.41"/>
        <n v="2435997.94"/>
        <n v="2327661.52"/>
        <n v="2420144.5299999998"/>
        <n v="1326059.5"/>
        <n v="658040.97"/>
        <n v="574651.36"/>
        <n v="1402136.3"/>
        <n v="1874841.63"/>
        <n v="235763.06"/>
        <n v="2076748.06"/>
        <n v="2267195.92"/>
        <n v="997146.24"/>
        <n v="1617920"/>
        <n v="1113606.04"/>
        <n v="101095.22"/>
        <n v="1194028.4099999999"/>
        <n v="1283536.29"/>
        <n v="1851290.42"/>
        <n v="1893385.66"/>
        <n v="1683521.91"/>
        <n v="1644292.73"/>
        <n v="2039920.56"/>
        <n v="370414.12"/>
        <n v="737078.52"/>
        <n v="1283389.3"/>
        <n v="292351.84999999998"/>
        <n v="549255.86"/>
        <n v="1989931.66"/>
        <n v="1983706.14"/>
        <n v="2148654.1800000002"/>
        <n v="2484157.0499999998"/>
        <n v="1889410.84"/>
        <n v="730307.47"/>
        <n v="2424091.67"/>
        <n v="1037521.52"/>
        <n v="1290388.23"/>
        <n v="410811.7"/>
        <n v="760807.56"/>
        <n v="1630092.72"/>
        <n v="1797201.35"/>
        <n v="69728.06"/>
        <n v="309532.55"/>
        <n v="1961973.16"/>
        <n v="244969.58"/>
        <n v="1692056.11"/>
        <n v="1042305.88"/>
        <n v="392099.25"/>
        <n v="383261.28"/>
        <n v="121627.62"/>
        <n v="1202941.08"/>
        <n v="1124823.48"/>
        <n v="2395198.73"/>
        <n v="2387920.8199999998"/>
        <n v="613216.74"/>
        <n v="60142.35"/>
        <n v="224071.41"/>
        <n v="246860.54"/>
        <n v="591227.79"/>
        <n v="72266.09"/>
        <n v="2115694.63"/>
        <n v="2031609.29"/>
        <n v="2106096.6800000002"/>
        <n v="2076245.27"/>
        <n v="804095.63"/>
        <n v="1032907.58"/>
        <n v="1503277.19"/>
        <n v="49454.17"/>
        <n v="91990.11"/>
        <n v="426192.74"/>
        <n v="2202507.73"/>
        <n v="129656.99"/>
        <n v="2209506.1"/>
        <n v="1429549.04"/>
        <n v="1563236.75"/>
        <n v="2081293.78"/>
        <n v="943487.83"/>
        <n v="130507.86"/>
        <n v="1550526.76"/>
        <n v="168861.18"/>
        <n v="110176.97"/>
        <n v="922074.99"/>
        <n v="1601386.98"/>
        <n v="405699.97"/>
        <n v="532846.27"/>
        <n v="184327.89"/>
        <n v="435366.52"/>
        <n v="1693630.95"/>
        <n v="1652271.79"/>
        <n v="945488.82"/>
        <n v="1989029.8"/>
        <n v="2206055.2200000002"/>
        <n v="1452966.71"/>
        <n v="942707.41"/>
        <n v="1459905.56"/>
        <n v="682548.66"/>
        <n v="195397.53"/>
        <n v="625059.11"/>
        <n v="1009527.85"/>
        <n v="1186095.6299999999"/>
        <n v="1744853.17"/>
        <n v="1647120.32"/>
        <n v="347836.84"/>
        <n v="271595.89"/>
        <n v="1221533.31"/>
        <n v="143632.95000000001"/>
        <n v="171907.48"/>
        <n v="1712089.82"/>
        <n v="2198098.48"/>
        <n v="2124609.73"/>
        <n v="599238.14"/>
        <n v="921830.16"/>
        <n v="66794.7"/>
        <n v="341201.43"/>
        <n v="426472.74"/>
        <n v="683130.66"/>
        <n v="131038.14"/>
        <n v="2473226.56"/>
        <n v="2039060.84"/>
        <n v="434053.89"/>
        <n v="1559773.49"/>
        <n v="2453539.7400000002"/>
        <n v="2280258.14"/>
        <n v="1893114.36"/>
        <n v="2308522.85"/>
        <n v="59233.33"/>
        <n v="161542.20000000001"/>
        <n v="1988082.73"/>
        <n v="622423.57999999996"/>
        <n v="1103440.18"/>
        <n v="750578.88"/>
        <n v="1515063.39"/>
        <n v="1813363.44"/>
        <n v="2212498.9500000002"/>
        <n v="1721223.49"/>
        <n v="1691064"/>
        <n v="1779023.67"/>
        <n v="2419208.58"/>
        <n v="1870725.63"/>
        <n v="1832605.59"/>
        <n v="464095.1"/>
        <n v="214267.66"/>
        <n v="2388034.33"/>
        <n v="1510928.88"/>
        <n v="890073.08"/>
        <n v="1878599.35"/>
        <n v="114385.71"/>
        <n v="2263006.91"/>
        <n v="1371866.65"/>
        <n v="1749772.51"/>
        <n v="1190755.79"/>
        <n v="1793606.84"/>
        <n v="850594.63"/>
        <n v="474644.19"/>
        <n v="789815.56"/>
        <n v="2475837.7799999998"/>
        <n v="2069711.74"/>
        <n v="2121295.62"/>
        <n v="705910.21"/>
        <n v="409236.17"/>
        <n v="1814893.78"/>
        <n v="449082.2"/>
        <n v="1221564.73"/>
        <n v="206592.48"/>
        <n v="1210478.69"/>
        <n v="1390150.41"/>
        <n v="449843.89"/>
        <n v="1882671.83"/>
        <n v="1298607.68"/>
        <n v="111838.88"/>
        <n v="185899.15"/>
        <n v="358109.88"/>
        <n v="1969460.16"/>
        <n v="823393.77"/>
        <n v="555563.93000000005"/>
        <n v="1378855.58"/>
        <n v="23743.67"/>
        <n v="1768756.04"/>
        <n v="1069412.71"/>
        <n v="600091.85"/>
        <n v="341070.96"/>
        <n v="1874169.88"/>
        <n v="1284211.21"/>
        <n v="294663.5"/>
        <n v="88572.82"/>
        <n v="12886.03"/>
        <n v="1026797.63"/>
        <n v="455455.1"/>
        <n v="1773048.59"/>
        <n v="1198237.46"/>
        <n v="1981782.39"/>
        <n v="1200482.53"/>
        <n v="658826.82999999996"/>
        <n v="573460.47999999998"/>
        <n v="1018242.98"/>
        <n v="129138.72"/>
        <n v="1651076.89"/>
        <n v="278821.53000000003"/>
        <n v="1460818.04"/>
        <n v="1547525.92"/>
        <n v="2228966.63"/>
        <n v="1259673.57"/>
        <n v="1711735.7"/>
        <n v="544519.31000000006"/>
        <n v="427772.74"/>
        <n v="622520.18999999994"/>
        <n v="1528705.08"/>
        <n v="2446905.9700000002"/>
        <n v="1574501.65"/>
        <n v="2038994.97"/>
        <n v="1519555.19"/>
        <n v="1508233.79"/>
        <n v="1499092.95"/>
        <n v="2038662.31"/>
        <n v="741846.23"/>
        <n v="1638411.49"/>
        <n v="704535.68"/>
        <n v="453413.72"/>
        <n v="663502.43999999994"/>
        <n v="2440848.12"/>
        <n v="798289.45"/>
        <n v="1334426.6200000001"/>
        <n v="2484763.2799999998"/>
        <n v="1150970.96"/>
        <n v="943651.96"/>
        <n v="367216.68"/>
        <n v="1746409.81"/>
        <n v="80297.77"/>
        <n v="392001.59"/>
        <n v="2439968.48"/>
        <n v="1060554.72"/>
        <n v="529774.87"/>
        <n v="1409348.31"/>
        <n v="1879605.68"/>
        <n v="1192382.5900000001"/>
        <n v="1922064.29"/>
        <n v="1077253.6100000001"/>
        <n v="1367840.13"/>
        <n v="223073.1"/>
        <n v="908680.28"/>
        <n v="1125230.68"/>
        <n v="998201.05"/>
        <n v="1162132.49"/>
        <n v="1510923.55"/>
        <n v="800466.55"/>
        <n v="2381612.52"/>
        <n v="1780516.76"/>
        <n v="496513.27"/>
        <n v="496399.94"/>
        <n v="1980042.05"/>
        <n v="469142.36"/>
        <n v="925641.04"/>
        <n v="1356167.54"/>
        <n v="1089690.4099999999"/>
        <n v="2331241.88"/>
        <n v="1378969.78"/>
        <n v="1268902.04"/>
        <n v="1976275.32"/>
        <n v="1611085.9"/>
        <n v="577423.76"/>
        <n v="28845.31"/>
        <n v="466387.93"/>
        <n v="1595966.42"/>
        <n v="1235612.6299999999"/>
        <n v="190781.71"/>
        <n v="1516637.15"/>
        <n v="1339885.44"/>
        <n v="1819359.75"/>
        <n v="1281641.3700000001"/>
        <n v="778962.82"/>
        <n v="1073282.44"/>
        <n v="2066716.05"/>
        <n v="1642386.53"/>
        <n v="803903.1"/>
        <n v="2018566.24"/>
        <n v="1246627.42"/>
        <n v="1609166.52"/>
        <n v="1174733.3799999999"/>
        <n v="746109.54"/>
        <n v="262839.24"/>
        <n v="2257201.46"/>
        <n v="1719803.99"/>
        <n v="2125384.25"/>
        <n v="564576.30000000005"/>
        <n v="32820.269999999997"/>
        <n v="1284818.29"/>
        <n v="2169646.9700000002"/>
        <n v="1443105.71"/>
        <n v="1654713.76"/>
        <n v="834348.76"/>
        <n v="689814.25"/>
        <n v="596917.82999999996"/>
        <n v="670667.37"/>
        <n v="1555295.87"/>
        <n v="354584.14"/>
        <n v="24334.69"/>
        <n v="2476032.75"/>
        <n v="2474482.7999999998"/>
        <n v="1936315.74"/>
        <n v="1443960.51"/>
        <n v="2280976.13"/>
        <n v="1300194.33"/>
        <n v="367827.72"/>
        <n v="102382.73"/>
        <n v="124755.12"/>
        <n v="727005.06"/>
        <n v="433254.92"/>
        <n v="213994.82"/>
        <n v="1259537.93"/>
        <n v="1052296.55"/>
        <n v="1007355.32"/>
        <n v="243497.66"/>
        <n v="2418196.15"/>
        <n v="167855.15"/>
        <n v="976784.73"/>
        <n v="462019.63"/>
        <n v="1232410.3400000001"/>
        <n v="1410522.71"/>
        <n v="2454384.21"/>
        <n v="1798022.77"/>
        <n v="1179380.78"/>
        <n v="1832193.75"/>
        <n v="960208.66"/>
        <n v="2101698.39"/>
        <n v="715223.33"/>
        <n v="13090.71"/>
        <n v="1252125.71"/>
        <n v="1955968.39"/>
        <n v="628454.62"/>
        <n v="1743794.77"/>
        <n v="1911839.79"/>
        <n v="1757727.08"/>
        <n v="1241491.8"/>
        <n v="490435.71"/>
        <n v="1067083.95"/>
        <n v="1471543.68"/>
        <n v="706489.94"/>
        <n v="190944.68"/>
        <n v="1634109.68"/>
        <n v="342828.72"/>
        <n v="1910479.95"/>
        <n v="2136435.59"/>
        <n v="1077712.4099999999"/>
        <n v="2073098.64"/>
        <n v="1922530.88"/>
        <n v="213842.17"/>
        <n v="1632577.77"/>
        <n v="92509.41"/>
        <n v="160108.72"/>
        <n v="1544873.26"/>
        <n v="2379259.48"/>
        <n v="1277588.79"/>
        <n v="1970411.15"/>
        <n v="375158.13"/>
        <n v="1906529.59"/>
        <n v="792348.39"/>
        <n v="288542.3"/>
        <n v="575874.59"/>
        <n v="294910.06"/>
        <n v="658440.31000000006"/>
        <n v="330944.39"/>
        <n v="2243565.7999999998"/>
        <n v="2087011.68"/>
        <n v="1623511.9"/>
        <n v="2243254.06"/>
        <n v="104836.07"/>
        <n v="1097291.8600000001"/>
        <n v="1271745.43"/>
        <n v="2369699.4300000002"/>
        <n v="217159.57"/>
        <n v="690270.07"/>
        <n v="2094087.6"/>
        <n v="378582.77"/>
        <n v="1528042.97"/>
        <n v="2194724.13"/>
        <n v="2407297.38"/>
        <n v="868946.44"/>
        <n v="2224526.5299999998"/>
        <n v="651748.46"/>
        <n v="416337.86"/>
        <n v="2280571.41"/>
        <n v="403510.44"/>
        <n v="105712.92"/>
        <n v="1851314.34"/>
        <n v="977809.75"/>
        <n v="1440502.95"/>
        <n v="956020.84"/>
        <n v="924554.07"/>
        <n v="1483523.83"/>
        <n v="2085808.56"/>
        <n v="1630021.56"/>
        <n v="1299847.55"/>
        <n v="349663.47"/>
        <n v="929079.53"/>
        <n v="1800325.64"/>
        <n v="2442440.33"/>
        <n v="166930"/>
        <n v="1561252.34"/>
        <n v="255805.31"/>
        <n v="2472718.06"/>
        <n v="130472.97"/>
        <n v="963824.65"/>
        <n v="1401214.66"/>
        <n v="1675097.74"/>
        <n v="487221.52"/>
        <n v="995735.01"/>
        <n v="1876465.87"/>
        <n v="1776477.17"/>
        <n v="1467118.72"/>
        <n v="1822392.67"/>
        <n v="294286.43"/>
        <n v="793753.22"/>
        <n v="1702226.49"/>
        <n v="788852.45"/>
        <n v="1446740.41"/>
        <n v="1755468.67"/>
        <n v="545637.30000000005"/>
        <n v="1470976.95"/>
        <n v="250519.22"/>
        <n v="608971.81000000006"/>
        <n v="2384954.85"/>
        <n v="134500.25"/>
        <n v="501016.34"/>
        <n v="1388370.58"/>
        <n v="1158709.97"/>
        <n v="2049477.69"/>
        <n v="922831.42"/>
        <n v="1088501.57"/>
        <n v="652548.74"/>
        <n v="2017289.05"/>
        <n v="1062453"/>
        <n v="1060162.81"/>
        <n v="2180512.98"/>
        <n v="630817.01"/>
        <n v="744208.37"/>
        <n v="361610.79"/>
        <n v="366876.12"/>
        <n v="642145.01"/>
        <n v="1433340.04"/>
        <n v="12627.62"/>
        <n v="1772521.27"/>
        <n v="799107.02"/>
        <n v="1428283.23"/>
        <n v="1686253.43"/>
        <n v="1226892.19"/>
        <n v="1426862.54"/>
        <n v="907936.7"/>
        <n v="2311375.8199999998"/>
        <n v="245807.72"/>
        <n v="2497274.71"/>
        <n v="56798.79"/>
        <n v="2303464.21"/>
        <n v="604709.12"/>
        <n v="80806.42"/>
        <n v="1941491.32"/>
        <n v="1278899.25"/>
        <n v="354875.25"/>
        <n v="1892451.44"/>
        <n v="721076.08"/>
        <n v="737199.04"/>
        <n v="30166.79"/>
        <n v="1308343.55"/>
        <n v="855917.49"/>
        <n v="2265755.0699999998"/>
        <n v="1383211.2"/>
        <n v="1724247.6"/>
        <n v="2076730.95"/>
        <n v="1160678.23"/>
        <n v="249689.77"/>
        <n v="1888857.62"/>
        <n v="749093.17"/>
        <n v="1273869.82"/>
        <n v="456639.18"/>
        <n v="525729.81999999995"/>
        <n v="1971871.58"/>
        <n v="1863034.84"/>
        <n v="349825.71"/>
        <n v="956015.84"/>
        <n v="1199206.75"/>
        <n v="253599.79"/>
        <n v="1938107.27"/>
        <n v="1906967.9"/>
        <n v="2211463.0499999998"/>
        <n v="57845.77"/>
        <n v="80210.039999999994"/>
        <n v="1951470.53"/>
        <n v="2223389.46"/>
        <n v="1559224.37"/>
        <n v="1330910.69"/>
        <n v="1333555.1200000001"/>
        <n v="408222.27"/>
        <n v="63559.72"/>
        <n v="2423109.4500000002"/>
        <n v="2488393.9"/>
        <n v="2008529.18"/>
        <n v="1753034.84"/>
        <n v="1296555.05"/>
        <n v="1048097.87"/>
        <n v="1009135.74"/>
        <n v="360852.03"/>
        <n v="165814.31"/>
        <n v="1640935.68"/>
        <n v="2355722.8199999998"/>
        <n v="1648423.4"/>
        <n v="2336561.0299999998"/>
        <n v="1986930.54"/>
        <n v="657011.6"/>
        <n v="1372251.97"/>
        <n v="2437719.71"/>
        <n v="207418.11"/>
        <n v="1502340.75"/>
        <n v="1587268.35"/>
        <n v="1304371.4099999999"/>
        <n v="779013.38"/>
        <n v="1047523.2"/>
        <n v="2360852.7599999998"/>
        <n v="1496116.25"/>
        <n v="2227791.87"/>
        <n v="1497617.45"/>
        <n v="1831106.59"/>
        <n v="606860.55000000005"/>
        <n v="2095514.12"/>
        <n v="2130582.58"/>
        <n v="247010.5"/>
        <n v="119497.78"/>
        <n v="430145.04"/>
        <n v="782310.86"/>
        <n v="903658.04"/>
        <n v="994928.08"/>
        <n v="259065.07"/>
        <n v="2481693.2000000002"/>
        <n v="2411476.21"/>
        <n v="2454790.48"/>
        <n v="1756087.04"/>
        <n v="1385182.06"/>
        <n v="1121170.68"/>
        <n v="1819401.25"/>
        <n v="826333.11"/>
        <n v="299208.46000000002"/>
        <n v="1237437.6299999999"/>
        <n v="239658.25"/>
        <n v="2464090.06"/>
        <n v="4322.25"/>
        <n v="1245503.3899999999"/>
        <n v="443730.03"/>
        <n v="1475265.82"/>
        <n v="1671762.7"/>
        <n v="2455864.08"/>
        <n v="1908806.53"/>
        <n v="1403132.48"/>
        <n v="1428187.28"/>
        <n v="131088.14000000001"/>
        <n v="1781026.45"/>
        <n v="11846.96"/>
        <n v="1496879.09"/>
        <n v="695216.71"/>
        <n v="176310.89"/>
        <n v="1787558.44"/>
        <n v="1386874.97"/>
        <n v="461195.82"/>
        <n v="472423.56"/>
        <n v="1610337.93"/>
        <n v="63274.18"/>
        <n v="1295118.29"/>
        <n v="8552.3799999999992"/>
        <n v="2343027.34"/>
        <n v="2298566.31"/>
        <n v="920195.24"/>
        <n v="882353.43"/>
        <n v="997207.65"/>
        <n v="982073.9"/>
        <n v="391798.37"/>
        <n v="2459081.39"/>
        <n v="326387.71000000002"/>
        <n v="828771.59"/>
        <n v="788750.08"/>
        <n v="1330762.95"/>
        <n v="338996.85"/>
        <n v="2366510.2000000002"/>
        <n v="2291910.02"/>
        <n v="1554655.49"/>
        <n v="597009.81999999995"/>
        <n v="78434.52"/>
        <n v="675709.22"/>
        <n v="1222076.05"/>
        <n v="186036.57"/>
        <n v="2272278.5699999998"/>
        <n v="1865160.2"/>
        <n v="801012.38"/>
        <n v="2152247.3199999998"/>
        <n v="1749917.55"/>
        <n v="713507.54"/>
        <n v="860558.13"/>
        <n v="2286191.66"/>
        <n v="783686.69"/>
        <n v="2430690.16"/>
        <n v="791808.75"/>
        <n v="374749.57"/>
        <n v="1247842.23"/>
        <n v="723304.64"/>
        <n v="776529.81"/>
        <n v="157812.48000000001"/>
        <n v="1443049.49"/>
        <n v="48493.23"/>
        <n v="1123712.31"/>
        <n v="890421.94"/>
        <n v="2394314.2400000002"/>
        <n v="745442.53"/>
        <n v="955048.64"/>
        <n v="711906.95"/>
        <n v="1801253.12"/>
        <n v="1891228.44"/>
        <n v="2350306.9700000002"/>
        <n v="1362778.45"/>
        <n v="2171662.64"/>
        <n v="2374915.06"/>
        <n v="1037346.79"/>
        <n v="2204117.39"/>
        <n v="971049.46"/>
        <n v="72043.7"/>
        <n v="1899398.2"/>
        <n v="2225516.29"/>
        <n v="971429.31"/>
        <n v="676.85"/>
        <n v="398717.99"/>
        <n v="1926109.21"/>
        <n v="1812022.57"/>
        <n v="162894.42000000001"/>
        <n v="2398572.21"/>
        <n v="2025884.82"/>
        <n v="1140643.71"/>
        <n v="1168710.44"/>
        <n v="832010.19"/>
        <n v="398569.92"/>
        <n v="259538.28"/>
        <n v="933305.31"/>
        <n v="389252.95"/>
        <n v="2063079.89"/>
        <n v="1940169.63"/>
        <n v="969368.28"/>
        <n v="1751578.76"/>
        <n v="1897623.69"/>
        <n v="1509021.84"/>
        <n v="1688106.73"/>
        <n v="121787.2"/>
        <n v="1066829.01"/>
        <n v="1634678.84"/>
        <n v="1751950.07"/>
        <n v="1771022.02"/>
        <n v="162938.35"/>
        <n v="1426051.56"/>
        <n v="99389.41"/>
        <n v="1463932.13"/>
        <n v="1196835.8799999999"/>
        <n v="181475.24"/>
        <n v="2176671.8199999998"/>
        <n v="1273868.21"/>
        <n v="165834.94"/>
        <n v="2466697.2599999998"/>
        <n v="1473902.76"/>
        <n v="1578414.68"/>
        <n v="2430851.71"/>
        <n v="348194.18"/>
        <n v="728652.79"/>
        <n v="2331209.79"/>
        <n v="8167.68"/>
        <n v="1570281.81"/>
        <n v="2003249.47"/>
        <n v="99843.46"/>
        <n v="1426542.75"/>
        <n v="958179.98"/>
        <n v="552433.72"/>
        <n v="1449093.93"/>
        <n v="2126465.9500000002"/>
        <n v="1539094.59"/>
        <n v="1012755.71"/>
        <n v="1782674.17"/>
        <n v="223652.26"/>
        <n v="1292924.48"/>
        <n v="230941.95"/>
        <n v="465050.18"/>
        <n v="1058160.03"/>
        <n v="310343.2"/>
        <n v="680843.62"/>
        <n v="604813.92000000004"/>
        <n v="1515026.89"/>
        <n v="1353672.38"/>
        <n v="2012096.81"/>
        <n v="786362.95"/>
        <n v="2251258.94"/>
        <n v="613415.02"/>
        <n v="2180282.2000000002"/>
        <n v="1266793.8899999999"/>
        <n v="1996277.94"/>
        <n v="1284929.1000000001"/>
        <n v="359878.69"/>
        <n v="486233.61"/>
        <n v="663769.22"/>
        <n v="856842.84"/>
        <n v="613241.35"/>
        <n v="644105.68999999994"/>
        <n v="1031612.56"/>
        <n v="2315311.2599999998"/>
        <n v="589205.80000000005"/>
        <n v="840278.21"/>
        <n v="2241453.27"/>
        <n v="1749960.95"/>
        <n v="2306377.7999999998"/>
        <n v="1155841.42"/>
        <n v="407016.29"/>
        <n v="816524.13"/>
        <n v="315274.36"/>
        <n v="1679101.73"/>
        <n v="78448.78"/>
        <n v="2416742.79"/>
        <n v="836390.67"/>
        <n v="901818.83"/>
        <n v="1646664.1"/>
        <n v="711214.18"/>
        <n v="1123178.3500000001"/>
        <n v="554502.34"/>
        <n v="1831875.23"/>
        <n v="821468.46"/>
        <n v="1873525.62"/>
        <n v="1912731.75"/>
        <n v="1986066.3"/>
        <n v="1963742.51"/>
        <n v="1916209.81"/>
        <n v="1891890.79"/>
        <n v="167251.42000000001"/>
        <n v="470201.32"/>
        <n v="239943.39"/>
        <n v="2088066.78"/>
        <n v="342298.7"/>
        <n v="770962.83"/>
        <n v="250306.55"/>
        <n v="122696.76"/>
        <n v="2194910.67"/>
        <n v="2023751.44"/>
        <n v="1751743.66"/>
        <n v="2187681.86"/>
        <n v="481179.48"/>
        <n v="1767260.91"/>
        <n v="2036115.58"/>
        <n v="1710170.42"/>
        <n v="1117686.26"/>
        <n v="1108529.43"/>
        <n v="1093627.05"/>
        <n v="718024.84"/>
        <n v="502310.02"/>
        <n v="586052.42000000004"/>
        <n v="1645734.54"/>
        <n v="1671117.32"/>
        <n v="1384680.97"/>
        <n v="1465480.89"/>
        <n v="840369.94"/>
        <n v="2239813.27"/>
        <n v="339303.11"/>
        <n v="1124592.22"/>
        <n v="1352687.85"/>
        <n v="1439186.99"/>
        <n v="688144.83"/>
        <n v="1654153.18"/>
        <n v="2252891.23"/>
        <n v="183032.57"/>
        <n v="538968.96"/>
        <n v="50069.36"/>
        <n v="2373906.54"/>
        <n v="1517253.49"/>
        <n v="445775.15"/>
        <n v="1802299.59"/>
        <n v="1950118.9"/>
        <n v="2382721.64"/>
        <n v="1986723.91"/>
        <n v="1191945.8500000001"/>
        <n v="1267859.22"/>
        <n v="903666.85"/>
        <n v="569611.88"/>
        <n v="1174423.06"/>
        <n v="117466.5"/>
        <n v="2327249.46"/>
        <n v="1741611.35"/>
        <n v="326275.94"/>
        <n v="2455520.98"/>
        <n v="922619.04"/>
        <n v="2157710.46"/>
        <n v="446136.57"/>
        <n v="2482815.0699999998"/>
        <n v="305451.05"/>
        <n v="120825.83"/>
        <n v="98027.86"/>
        <n v="2145946.15"/>
        <n v="836471.2"/>
        <n v="1823152.89"/>
        <n v="2214709.86"/>
        <n v="857375.73"/>
        <n v="183753.88"/>
        <n v="734870.96"/>
        <n v="2415719.7200000002"/>
        <n v="1300641.4099999999"/>
        <n v="532133.62"/>
        <n v="1565945.72"/>
        <n v="1386326.79"/>
        <n v="1612838.94"/>
        <n v="2008216.31"/>
        <n v="1559438.93"/>
        <n v="1448198.96"/>
        <n v="2097965.94"/>
        <n v="1600598.68"/>
        <n v="1516827.68"/>
        <n v="2400051.34"/>
        <n v="1691385.47"/>
        <n v="2021855.35"/>
        <n v="667617.65"/>
        <n v="16283.33"/>
        <n v="1670787.62"/>
        <n v="732586.45"/>
        <n v="1567444.19"/>
        <n v="405780.71"/>
        <n v="1864657.55"/>
        <n v="993197.26"/>
        <n v="2385483.12"/>
        <n v="1160637.5900000001"/>
        <n v="1054748.8999999999"/>
        <n v="2228501.36"/>
        <n v="2432696.42"/>
        <n v="270706.53999999998"/>
        <n v="1228938.32"/>
        <n v="1828071.32"/>
        <n v="1431063.41"/>
        <n v="2152260.09"/>
        <n v="2101701.65"/>
        <n v="2472183.4300000002"/>
        <n v="1141814.31"/>
        <n v="94470.34"/>
        <n v="1838561.77"/>
        <n v="1738200.91"/>
        <n v="2430273.96"/>
        <n v="1153514.93"/>
        <n v="1234767.8999999999"/>
        <n v="2207551.15"/>
        <n v="2249416.89"/>
        <n v="350885.4"/>
        <n v="850465.17"/>
        <n v="1438609.2"/>
        <n v="978048.28"/>
        <n v="1932508.1"/>
        <n v="412037.22"/>
        <n v="220518.14"/>
        <n v="2043847.04"/>
        <n v="664386.06000000006"/>
        <n v="1323030.29"/>
        <n v="2111755.4700000002"/>
        <n v="1939647.82"/>
        <n v="844726.31"/>
        <n v="720081.56"/>
        <n v="98505.47"/>
        <n v="2478000.33"/>
        <n v="510228.18"/>
        <n v="1791843.76"/>
        <n v="15913.46"/>
        <n v="432184.78"/>
        <n v="1612869.72"/>
        <n v="1793861.46"/>
        <n v="875219.26"/>
        <n v="81734.44"/>
        <n v="1795722.72"/>
        <n v="2314487.4500000002"/>
        <n v="535246.24"/>
        <n v="591136.81000000006"/>
        <n v="1611516.22"/>
        <n v="2026908.66"/>
        <n v="174706.19"/>
        <n v="1448946.39"/>
        <n v="1823007.72"/>
        <n v="1422303.27"/>
        <n v="1876517.1"/>
        <n v="2087960.2"/>
      </sharedItems>
    </cacheField>
    <cacheField name="Credit Score" numFmtId="0">
      <sharedItems containsSemiMixedTypes="0" containsString="0" containsNumber="1" containsInteger="1" minValue="300" maxValue="900" count="556">
        <n v="528"/>
        <n v="503"/>
        <n v="584"/>
        <n v="344"/>
        <n v="533"/>
        <n v="663"/>
        <n v="870"/>
        <n v="622"/>
        <n v="898"/>
        <n v="463"/>
        <n v="417"/>
        <n v="569"/>
        <n v="843"/>
        <n v="880"/>
        <n v="733"/>
        <n v="646"/>
        <n v="372"/>
        <n v="399"/>
        <n v="411"/>
        <n v="863"/>
        <n v="360"/>
        <n v="798"/>
        <n v="892"/>
        <n v="434"/>
        <n v="518"/>
        <n v="841"/>
        <n v="515"/>
        <n v="641"/>
        <n v="452"/>
        <n v="340"/>
        <n v="481"/>
        <n v="339"/>
        <n v="585"/>
        <n v="571"/>
        <n v="746"/>
        <n v="607"/>
        <n v="478"/>
        <n v="776"/>
        <n v="540"/>
        <n v="724"/>
        <n v="409"/>
        <n v="872"/>
        <n v="583"/>
        <n v="853"/>
        <n v="363"/>
        <n v="729"/>
        <n v="714"/>
        <n v="486"/>
        <n v="731"/>
        <n v="331"/>
        <n v="562"/>
        <n v="706"/>
        <n v="738"/>
        <n v="456"/>
        <n v="564"/>
        <n v="787"/>
        <n v="677"/>
        <n v="497"/>
        <n v="589"/>
        <n v="355"/>
        <n v="352"/>
        <n v="835"/>
        <n v="516"/>
        <n v="598"/>
        <n v="502"/>
        <n v="882"/>
        <n v="321"/>
        <n v="803"/>
        <n v="710"/>
        <n v="826"/>
        <n v="462"/>
        <n v="820"/>
        <n v="893"/>
        <n v="629"/>
        <n v="690"/>
        <n v="767"/>
        <n v="636"/>
        <n v="532"/>
        <n v="667"/>
        <n v="546"/>
        <n v="594"/>
        <n v="693"/>
        <n v="879"/>
        <n v="440"/>
        <n v="725"/>
        <n v="765"/>
        <n v="635"/>
        <n v="804"/>
        <n v="401"/>
        <n v="517"/>
        <n v="867"/>
        <n v="412"/>
        <n v="833"/>
        <n v="375"/>
        <n v="740"/>
        <n v="397"/>
        <n v="681"/>
        <n v="869"/>
        <n v="647"/>
        <n v="764"/>
        <n v="578"/>
        <n v="590"/>
        <n v="845"/>
        <n v="889"/>
        <n v="670"/>
        <n v="630"/>
        <n v="357"/>
        <n v="392"/>
        <n v="396"/>
        <n v="701"/>
        <n v="839"/>
        <n v="496"/>
        <n v="685"/>
        <n v="591"/>
        <n v="751"/>
        <n v="527"/>
        <n v="683"/>
        <n v="780"/>
        <n v="595"/>
        <n v="316"/>
        <n v="387"/>
        <n v="479"/>
        <n v="506"/>
        <n v="665"/>
        <n v="858"/>
        <n v="659"/>
        <n v="592"/>
        <n v="389"/>
        <n v="719"/>
        <n v="864"/>
        <n v="530"/>
        <n v="814"/>
        <n v="604"/>
        <n v="626"/>
        <n v="553"/>
        <n v="494"/>
        <n v="520"/>
        <n v="570"/>
        <n v="674"/>
        <n v="819"/>
        <n v="615"/>
        <n v="689"/>
        <n v="508"/>
        <n v="477"/>
        <n v="887"/>
        <n v="596"/>
        <n v="437"/>
        <n v="314"/>
        <n v="489"/>
        <n v="896"/>
        <n v="618"/>
        <n v="682"/>
        <n v="414"/>
        <n v="393"/>
        <n v="361"/>
        <n v="730"/>
        <n v="656"/>
        <n v="844"/>
        <n v="349"/>
        <n v="488"/>
        <n v="842"/>
        <n v="315"/>
        <n v="777"/>
        <n v="627"/>
        <n v="727"/>
        <n v="800"/>
        <n v="855"/>
        <n v="454"/>
        <n v="317"/>
        <n v="475"/>
        <n v="577"/>
        <n v="707"/>
        <n v="380"/>
        <n v="698"/>
        <n v="741"/>
        <n v="694"/>
        <n v="449"/>
        <n v="807"/>
        <n v="637"/>
        <n v="877"/>
        <n v="718"/>
        <n v="790"/>
        <n v="345"/>
        <n v="871"/>
        <n v="653"/>
        <n v="651"/>
        <n v="510"/>
        <n v="801"/>
        <n v="823"/>
        <n v="796"/>
        <n v="878"/>
        <n v="542"/>
        <n v="721"/>
        <n v="702"/>
        <n v="827"/>
        <n v="769"/>
        <n v="427"/>
        <n v="580"/>
        <n v="539"/>
        <n v="309"/>
        <n v="405"/>
        <n v="468"/>
        <n v="545"/>
        <n v="744"/>
        <n v="655"/>
        <n v="739"/>
        <n v="461"/>
        <n v="453"/>
        <n v="885"/>
        <n v="775"/>
        <n v="445"/>
        <n v="703"/>
        <n v="634"/>
        <n v="716"/>
        <n v="341"/>
        <n v="431"/>
        <n v="808"/>
        <n v="551"/>
        <n v="838"/>
        <n v="484"/>
        <n v="338"/>
        <n v="374"/>
        <n v="301"/>
        <n v="639"/>
        <n v="369"/>
        <n v="320"/>
        <n v="395"/>
        <n v="457"/>
        <n v="383"/>
        <n v="541"/>
        <n v="429"/>
        <n v="402"/>
        <n v="575"/>
        <n v="836"/>
        <n v="785"/>
        <n v="519"/>
        <n v="435"/>
        <n v="523"/>
        <n v="713"/>
        <n v="782"/>
        <n v="783"/>
        <n v="883"/>
        <n v="359"/>
        <n v="304"/>
        <n v="346"/>
        <n v="561"/>
        <n v="860"/>
        <n v="302"/>
        <n v="536"/>
        <n v="668"/>
        <n v="748"/>
        <n v="364"/>
        <n v="638"/>
        <n v="810"/>
        <n v="611"/>
        <n v="784"/>
        <n v="560"/>
        <n v="426"/>
        <n v="824"/>
        <n v="482"/>
        <n v="732"/>
        <n v="464"/>
        <n v="875"/>
        <n v="620"/>
        <n v="859"/>
        <n v="600"/>
        <n v="367"/>
        <n v="602"/>
        <n v="498"/>
        <n v="613"/>
        <n v="597"/>
        <n v="443"/>
        <n v="557"/>
        <n v="442"/>
        <n v="535"/>
        <n v="549"/>
        <n v="715"/>
        <n v="720"/>
        <n v="815"/>
        <n v="534"/>
        <n v="385"/>
        <n v="614"/>
        <n v="390"/>
        <n v="358"/>
        <n v="822"/>
        <n v="661"/>
        <n v="377"/>
        <n v="888"/>
        <n v="688"/>
        <n v="467"/>
        <n v="563"/>
        <n v="757"/>
        <n v="373"/>
        <n v="671"/>
        <n v="381"/>
        <n v="755"/>
        <n v="874"/>
        <n v="763"/>
        <n v="588"/>
        <n v="485"/>
        <n v="334"/>
        <n v="862"/>
        <n v="458"/>
        <n v="749"/>
        <n v="851"/>
        <n v="368"/>
        <n v="697"/>
        <n v="483"/>
        <n v="816"/>
        <n v="631"/>
        <n v="582"/>
        <n v="555"/>
        <n v="890"/>
        <n v="726"/>
        <n v="438"/>
        <n v="612"/>
        <n v="323"/>
        <n v="623"/>
        <n v="511"/>
        <n v="573"/>
        <n v="632"/>
        <n v="448"/>
        <n v="507"/>
        <n v="543"/>
        <n v="891"/>
        <n v="886"/>
        <n v="737"/>
        <n v="514"/>
        <n v="432"/>
        <n v="420"/>
        <n v="459"/>
        <n v="319"/>
        <n v="469"/>
        <n v="680"/>
        <n v="394"/>
        <n v="446"/>
        <n v="408"/>
        <n v="846"/>
        <n v="745"/>
        <n v="624"/>
        <n v="601"/>
        <n v="625"/>
        <n v="747"/>
        <n v="881"/>
        <n v="312"/>
        <n v="556"/>
        <n v="793"/>
        <n v="648"/>
        <n v="544"/>
        <n v="365"/>
        <n v="711"/>
        <n v="811"/>
        <n v="504"/>
        <n v="696"/>
        <n v="439"/>
        <n v="474"/>
        <n v="781"/>
        <n v="465"/>
        <n v="894"/>
        <n v="451"/>
        <n v="424"/>
        <n v="325"/>
        <n v="734"/>
        <n v="684"/>
        <n v="802"/>
        <n v="565"/>
        <n v="664"/>
        <n v="608"/>
        <n v="619"/>
        <n v="795"/>
        <n v="310"/>
        <n v="425"/>
        <n v="398"/>
        <n v="333"/>
        <n v="649"/>
        <n v="386"/>
        <n v="400"/>
        <n v="609"/>
        <n v="337"/>
        <n v="828"/>
        <n v="336"/>
        <n v="768"/>
        <n v="579"/>
        <n v="791"/>
        <n v="773"/>
        <n v="760"/>
        <n v="492"/>
        <n v="799"/>
        <n v="805"/>
        <n v="752"/>
        <n v="306"/>
        <n v="362"/>
        <n v="621"/>
        <n v="852"/>
        <n v="735"/>
        <n v="712"/>
        <n v="466"/>
        <n v="617"/>
        <n v="759"/>
        <n v="753"/>
        <n v="854"/>
        <n v="840"/>
        <n v="812"/>
        <n v="587"/>
        <n v="529"/>
        <n v="328"/>
        <n v="366"/>
        <n v="403"/>
        <n v="430"/>
        <n v="308"/>
        <n v="792"/>
        <n v="330"/>
        <n v="568"/>
        <n v="821"/>
        <n v="897"/>
        <n v="460"/>
        <n v="581"/>
        <n v="491"/>
        <n v="830"/>
        <n v="771"/>
        <n v="407"/>
        <n v="772"/>
        <n v="318"/>
        <n v="645"/>
        <n v="754"/>
        <n v="509"/>
        <n v="817"/>
        <n v="850"/>
        <n v="691"/>
        <n v="644"/>
        <n v="554"/>
        <n v="633"/>
        <n v="778"/>
        <n v="603"/>
        <n v="322"/>
        <n v="499"/>
        <n v="353"/>
        <n v="476"/>
        <n v="849"/>
        <n v="868"/>
        <n v="391"/>
        <n v="825"/>
        <n v="809"/>
        <n v="550"/>
        <n v="606"/>
        <n v="774"/>
        <n v="490"/>
        <n v="413"/>
        <n v="572"/>
        <n v="313"/>
        <n v="873"/>
        <n v="704"/>
        <n v="480"/>
        <n v="371"/>
        <n v="686"/>
        <n v="531"/>
        <n v="378"/>
        <n v="326"/>
        <n v="444"/>
        <n v="379"/>
        <n v="576"/>
        <n v="311"/>
        <n v="593"/>
        <n v="343"/>
        <n v="332"/>
        <n v="672"/>
        <n v="406"/>
        <n v="574"/>
        <n v="831"/>
        <n v="709"/>
        <n v="538"/>
        <n v="376"/>
        <n v="305"/>
        <n v="723"/>
        <n v="521"/>
        <n v="404"/>
        <n v="660"/>
        <n v="441"/>
        <n v="666"/>
        <n v="537"/>
        <n v="717"/>
        <n v="605"/>
        <n v="856"/>
        <n v="416"/>
        <n v="566"/>
        <n v="350"/>
        <n v="643"/>
        <n v="728"/>
        <n v="473"/>
        <n v="472"/>
        <n v="736"/>
        <n v="866"/>
        <n v="876"/>
        <n v="834"/>
        <n v="900"/>
        <n v="559"/>
        <n v="675"/>
        <n v="495"/>
        <n v="657"/>
        <n v="567"/>
        <n v="548"/>
        <n v="418"/>
        <n v="692"/>
        <n v="512"/>
        <n v="526"/>
        <n v="884"/>
        <n v="750"/>
        <n v="650"/>
        <n v="687"/>
        <n v="616"/>
        <n v="847"/>
        <n v="300"/>
        <n v="422"/>
        <n v="455"/>
        <n v="699"/>
        <n v="505"/>
        <n v="513"/>
        <n v="818"/>
        <n v="335"/>
        <n v="415"/>
        <n v="806"/>
        <n v="722"/>
        <n v="794"/>
        <n v="848"/>
        <n v="471"/>
        <n v="599"/>
        <n v="700"/>
        <n v="695"/>
        <n v="423"/>
        <n v="837"/>
        <n v="558"/>
        <n v="354"/>
        <n v="766"/>
        <n v="388"/>
        <n v="899"/>
        <n v="501"/>
        <n v="552"/>
        <n v="770"/>
        <n v="493"/>
        <n v="676"/>
        <n v="861"/>
        <n v="436"/>
        <n v="450"/>
        <n v="797"/>
        <n v="324"/>
        <n v="865"/>
        <n v="327"/>
        <n v="762"/>
        <n v="832"/>
        <n v="347"/>
        <n v="642"/>
        <n v="351"/>
        <n v="669"/>
        <n v="447"/>
        <n v="470"/>
        <n v="356"/>
      </sharedItems>
    </cacheField>
    <cacheField name="Transaction Count" numFmtId="0">
      <sharedItems containsSemiMixedTypes="0" containsString="0" containsNumber="1" containsInteger="1" minValue="5" maxValue="500" count="471">
        <n v="76"/>
        <n v="371"/>
        <n v="84"/>
        <n v="378"/>
        <n v="400"/>
        <n v="112"/>
        <n v="117"/>
        <n v="113"/>
        <n v="224"/>
        <n v="410"/>
        <n v="354"/>
        <n v="261"/>
        <n v="475"/>
        <n v="489"/>
        <n v="498"/>
        <n v="15"/>
        <n v="268"/>
        <n v="342"/>
        <n v="132"/>
        <n v="55"/>
        <n v="89"/>
        <n v="85"/>
        <n v="309"/>
        <n v="348"/>
        <n v="264"/>
        <n v="9"/>
        <n v="372"/>
        <n v="399"/>
        <n v="284"/>
        <n v="465"/>
        <n v="456"/>
        <n v="444"/>
        <n v="447"/>
        <n v="24"/>
        <n v="5"/>
        <n v="320"/>
        <n v="231"/>
        <n v="349"/>
        <n v="458"/>
        <n v="403"/>
        <n v="397"/>
        <n v="46"/>
        <n v="110"/>
        <n v="280"/>
        <n v="375"/>
        <n v="30"/>
        <n v="134"/>
        <n v="491"/>
        <n v="487"/>
        <n v="343"/>
        <n v="227"/>
        <n v="179"/>
        <n v="335"/>
        <n v="247"/>
        <n v="166"/>
        <n v="56"/>
        <n v="288"/>
        <n v="420"/>
        <n v="199"/>
        <n v="140"/>
        <n v="21"/>
        <n v="222"/>
        <n v="476"/>
        <n v="460"/>
        <n v="396"/>
        <n v="51"/>
        <n v="421"/>
        <n v="427"/>
        <n v="109"/>
        <n v="164"/>
        <n v="265"/>
        <n v="387"/>
        <n v="450"/>
        <n v="202"/>
        <n v="12"/>
        <n v="441"/>
        <n v="196"/>
        <n v="259"/>
        <n v="351"/>
        <n v="326"/>
        <n v="94"/>
        <n v="244"/>
        <n v="193"/>
        <n v="473"/>
        <n v="64"/>
        <n v="431"/>
        <n v="356"/>
        <n v="333"/>
        <n v="111"/>
        <n v="274"/>
        <n v="159"/>
        <n v="165"/>
        <n v="500"/>
        <n v="184"/>
        <n v="352"/>
        <n v="365"/>
        <n v="50"/>
        <n v="394"/>
        <n v="185"/>
        <n v="319"/>
        <n v="235"/>
        <n v="191"/>
        <n v="290"/>
        <n v="71"/>
        <n v="52"/>
        <n v="120"/>
        <n v="83"/>
        <n v="390"/>
        <n v="241"/>
        <n v="483"/>
        <n v="423"/>
        <n v="119"/>
        <n v="234"/>
        <n v="126"/>
        <n v="328"/>
        <n v="273"/>
        <n v="187"/>
        <n v="430"/>
        <n v="27"/>
        <n v="446"/>
        <n v="100"/>
        <n v="155"/>
        <n v="233"/>
        <n v="492"/>
        <n v="360"/>
        <n v="419"/>
        <n v="411"/>
        <n v="426"/>
        <n v="332"/>
        <n v="182"/>
        <n v="338"/>
        <n v="237"/>
        <n v="380"/>
        <n v="77"/>
        <n v="395"/>
        <n v="303"/>
        <n v="377"/>
        <n v="391"/>
        <n v="315"/>
        <n v="429"/>
        <n v="412"/>
        <n v="80"/>
        <n v="215"/>
        <n v="240"/>
        <n v="480"/>
        <n v="123"/>
        <n v="453"/>
        <n v="440"/>
        <n v="382"/>
        <n v="358"/>
        <n v="217"/>
        <n v="36"/>
        <n v="65"/>
        <n v="130"/>
        <n v="168"/>
        <n v="325"/>
        <n v="73"/>
        <n v="142"/>
        <n v="278"/>
        <n v="156"/>
        <n v="499"/>
        <n v="276"/>
        <n v="355"/>
        <n v="47"/>
        <n v="28"/>
        <n v="401"/>
        <n v="48"/>
        <n v="167"/>
        <n v="11"/>
        <n v="37"/>
        <n v="230"/>
        <n v="381"/>
        <n v="107"/>
        <n v="293"/>
        <n v="302"/>
        <n v="17"/>
        <n v="252"/>
        <n v="336"/>
        <n v="327"/>
        <n v="147"/>
        <n v="275"/>
        <n v="203"/>
        <n v="289"/>
        <n v="74"/>
        <n v="20"/>
        <n v="286"/>
        <n v="157"/>
        <n v="148"/>
        <n v="255"/>
        <n v="388"/>
        <n v="330"/>
        <n v="177"/>
        <n v="258"/>
        <n v="192"/>
        <n v="418"/>
        <n v="272"/>
        <n v="144"/>
        <n v="135"/>
        <n v="96"/>
        <n v="195"/>
        <n v="172"/>
        <n v="369"/>
        <n v="43"/>
        <n v="66"/>
        <n v="115"/>
        <n v="18"/>
        <n v="308"/>
        <n v="337"/>
        <n v="490"/>
        <n v="386"/>
        <n v="178"/>
        <n v="214"/>
        <n v="32"/>
        <n v="194"/>
        <n v="248"/>
        <n v="26"/>
        <n v="287"/>
        <n v="478"/>
        <n v="93"/>
        <n v="464"/>
        <n v="158"/>
        <n v="393"/>
        <n v="455"/>
        <n v="145"/>
        <n v="305"/>
        <n v="443"/>
        <n v="243"/>
        <n v="422"/>
        <n v="70"/>
        <n v="462"/>
        <n v="7"/>
        <n v="14"/>
        <n v="219"/>
        <n v="108"/>
        <n v="238"/>
        <n v="415"/>
        <n v="494"/>
        <n v="138"/>
        <n v="81"/>
        <n v="285"/>
        <n v="317"/>
        <n v="404"/>
        <n v="262"/>
        <n v="151"/>
        <n v="383"/>
        <n v="271"/>
        <n v="116"/>
        <n v="471"/>
        <n v="392"/>
        <n v="200"/>
        <n v="496"/>
        <n v="63"/>
        <n v="146"/>
        <n v="329"/>
        <n v="197"/>
        <n v="311"/>
        <n v="312"/>
        <n v="60"/>
        <n v="485"/>
        <n v="150"/>
        <n v="357"/>
        <n v="294"/>
        <n v="300"/>
        <n v="210"/>
        <n v="269"/>
        <n v="347"/>
        <n v="353"/>
        <n v="414"/>
        <n v="449"/>
        <n v="260"/>
        <n v="95"/>
        <n v="35"/>
        <n v="181"/>
        <n v="45"/>
        <n v="58"/>
        <n v="228"/>
        <n v="103"/>
        <n v="106"/>
        <n v="171"/>
        <n v="364"/>
        <n v="102"/>
        <n v="282"/>
        <n v="424"/>
        <n v="341"/>
        <n v="432"/>
        <n v="316"/>
        <n v="310"/>
        <n v="124"/>
        <n v="481"/>
        <n v="251"/>
        <n v="91"/>
        <n v="62"/>
        <n v="174"/>
        <n v="344"/>
        <n v="253"/>
        <n v="206"/>
        <n v="454"/>
        <n v="339"/>
        <n v="160"/>
        <n v="448"/>
        <n v="133"/>
        <n v="318"/>
        <n v="6"/>
        <n v="322"/>
        <n v="434"/>
        <n v="408"/>
        <n v="436"/>
        <n v="297"/>
        <n v="236"/>
        <n v="232"/>
        <n v="398"/>
        <n v="298"/>
        <n v="201"/>
        <n v="245"/>
        <n v="295"/>
        <n v="459"/>
        <n v="435"/>
        <n v="220"/>
        <n v="301"/>
        <n v="433"/>
        <n v="497"/>
        <n v="205"/>
        <n v="463"/>
        <n v="359"/>
        <n v="137"/>
        <n v="78"/>
        <n v="402"/>
        <n v="67"/>
        <n v="129"/>
        <n v="13"/>
        <n v="61"/>
        <n v="445"/>
        <n v="451"/>
        <n v="101"/>
        <n v="154"/>
        <n v="405"/>
        <n v="104"/>
        <n v="162"/>
        <n v="68"/>
        <n v="88"/>
        <n v="29"/>
        <n v="143"/>
        <n v="438"/>
        <n v="97"/>
        <n v="207"/>
        <n v="266"/>
        <n v="350"/>
        <n v="263"/>
        <n v="127"/>
        <n v="33"/>
        <n v="125"/>
        <n v="190"/>
        <n v="163"/>
        <n v="409"/>
        <n v="362"/>
        <n v="370"/>
        <n v="477"/>
        <n v="428"/>
        <n v="321"/>
        <n v="470"/>
        <n v="257"/>
        <n v="242"/>
        <n v="324"/>
        <n v="16"/>
        <n v="31"/>
        <n v="323"/>
        <n v="82"/>
        <n v="488"/>
        <n v="306"/>
        <n v="161"/>
        <n v="216"/>
        <n v="472"/>
        <n v="304"/>
        <n v="468"/>
        <n v="226"/>
        <n v="250"/>
        <n v="270"/>
        <n v="407"/>
        <n v="373"/>
        <n v="340"/>
        <n v="267"/>
        <n v="479"/>
        <n v="425"/>
        <n v="229"/>
        <n v="10"/>
        <n v="188"/>
        <n v="292"/>
        <n v="39"/>
        <n v="180"/>
        <n v="40"/>
        <n v="175"/>
        <n v="212"/>
        <n v="208"/>
        <n v="8"/>
        <n v="417"/>
        <n v="345"/>
        <n v="221"/>
        <n v="439"/>
        <n v="363"/>
        <n v="57"/>
        <n v="406"/>
        <n v="41"/>
        <n v="461"/>
        <n v="346"/>
        <n v="376"/>
        <n v="90"/>
        <n v="34"/>
        <n v="59"/>
        <n v="495"/>
        <n v="279"/>
        <n v="361"/>
        <n v="153"/>
        <n v="368"/>
        <n v="139"/>
        <n v="437"/>
        <n v="105"/>
        <n v="19"/>
        <n v="493"/>
        <n v="79"/>
        <n v="331"/>
        <n v="92"/>
        <n v="189"/>
        <n v="314"/>
        <n v="299"/>
        <n v="54"/>
        <n v="169"/>
        <n v="384"/>
        <n v="136"/>
        <n v="213"/>
        <n v="122"/>
        <n v="307"/>
        <n v="225"/>
        <n v="152"/>
        <n v="379"/>
        <n v="457"/>
        <n v="186"/>
        <n v="114"/>
        <n v="170"/>
        <n v="72"/>
        <n v="374"/>
        <n v="121"/>
        <n v="291"/>
        <n v="452"/>
        <n v="86"/>
        <n v="484"/>
        <n v="98"/>
        <n v="128"/>
        <n v="118"/>
        <n v="413"/>
        <n v="149"/>
        <n v="176"/>
        <n v="38"/>
        <n v="99"/>
        <n v="296"/>
        <n v="209"/>
        <n v="218"/>
        <n v="25"/>
        <n v="239"/>
        <n v="283"/>
        <n v="22"/>
        <n v="131"/>
        <n v="204"/>
        <n v="183"/>
        <n v="42"/>
        <n v="389"/>
        <n v="49"/>
        <n v="53"/>
        <n v="223"/>
        <n v="198"/>
        <n v="256"/>
        <n v="442"/>
      </sharedItems>
    </cacheField>
    <cacheField name="Monthly Income" numFmtId="0">
      <sharedItems containsSemiMixedTypes="0" containsString="0" containsNumber="1" containsInteger="1" minValue="20221" maxValue="249997"/>
    </cacheField>
    <cacheField name="Card Type" numFmtId="0">
      <sharedItems count="4">
        <s v="Visa"/>
        <s v="RuPay"/>
        <s v="American Express"/>
        <s v="MasterCard"/>
      </sharedItems>
    </cacheField>
    <cacheField name="Internet Banking (Yes/No)" numFmtId="0">
      <sharedItems count="2">
        <s v="Yes"/>
        <s v="No"/>
      </sharedItems>
    </cacheField>
    <cacheField name="Customer Satisfaction Rating" numFmtId="0">
      <sharedItems containsSemiMixedTypes="0" containsString="0" containsNumber="1" minValue="1" maxValue="5" count="41">
        <n v="3.9"/>
        <n v="3.6"/>
        <n v="1.9"/>
        <n v="2.8"/>
        <n v="2.2000000000000002"/>
        <n v="3.7"/>
        <n v="4.5999999999999996"/>
        <n v="4.5"/>
        <n v="4"/>
        <n v="1"/>
        <n v="1.3"/>
        <n v="1.8"/>
        <n v="3.4"/>
        <n v="2"/>
        <n v="2.7"/>
        <n v="1.2"/>
        <n v="2.5"/>
        <n v="2.1"/>
        <n v="2.4"/>
        <n v="1.5"/>
        <n v="1.1000000000000001"/>
        <n v="2.6"/>
        <n v="2.9"/>
        <n v="1.4"/>
        <n v="3.1"/>
        <n v="3.3"/>
        <n v="3.5"/>
        <n v="2.2999999999999998"/>
        <n v="4.0999999999999996"/>
        <n v="1.6"/>
        <n v="4.3"/>
        <n v="1.7"/>
        <n v="3.8"/>
        <n v="3.2"/>
        <n v="4.8"/>
        <n v="5"/>
        <n v="3"/>
        <n v="4.7"/>
        <n v="4.9000000000000004"/>
        <n v="4.2"/>
        <n v="4.400000000000000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0">
  <r>
    <s v="CUST0001"/>
    <s v="Sahil Sanghvi"/>
    <n v="58"/>
    <x v="0"/>
    <x v="0"/>
    <x v="0"/>
    <x v="0"/>
    <x v="0"/>
    <x v="0"/>
    <x v="0"/>
    <n v="49184"/>
    <x v="0"/>
    <x v="0"/>
    <x v="0"/>
  </r>
  <r>
    <s v="CUST0002"/>
    <s v="Tushar Ratta"/>
    <n v="31"/>
    <x v="1"/>
    <x v="1"/>
    <x v="1"/>
    <x v="1"/>
    <x v="1"/>
    <x v="1"/>
    <x v="1"/>
    <n v="80990"/>
    <x v="1"/>
    <x v="0"/>
    <x v="1"/>
  </r>
  <r>
    <s v="CUST0003"/>
    <s v="Jhanvi Ratti"/>
    <n v="66"/>
    <x v="1"/>
    <x v="2"/>
    <x v="0"/>
    <x v="2"/>
    <x v="2"/>
    <x v="2"/>
    <x v="2"/>
    <n v="231240"/>
    <x v="2"/>
    <x v="0"/>
    <x v="2"/>
  </r>
  <r>
    <s v="CUST0004"/>
    <s v="Vedika Kashyap"/>
    <n v="40"/>
    <x v="1"/>
    <x v="0"/>
    <x v="0"/>
    <x v="3"/>
    <x v="3"/>
    <x v="3"/>
    <x v="3"/>
    <n v="242165"/>
    <x v="1"/>
    <x v="1"/>
    <x v="3"/>
  </r>
  <r>
    <s v="CUST0005"/>
    <s v="Arnav Sathe"/>
    <n v="54"/>
    <x v="1"/>
    <x v="1"/>
    <x v="0"/>
    <x v="4"/>
    <x v="4"/>
    <x v="4"/>
    <x v="4"/>
    <n v="70407"/>
    <x v="2"/>
    <x v="1"/>
    <x v="4"/>
  </r>
  <r>
    <s v="CUST0006"/>
    <s v="Samarth Mahal"/>
    <n v="47"/>
    <x v="1"/>
    <x v="3"/>
    <x v="2"/>
    <x v="5"/>
    <x v="5"/>
    <x v="5"/>
    <x v="5"/>
    <n v="186640"/>
    <x v="3"/>
    <x v="1"/>
    <x v="5"/>
  </r>
  <r>
    <s v="CUST0007"/>
    <s v="Alia Bhagat"/>
    <n v="42"/>
    <x v="1"/>
    <x v="1"/>
    <x v="0"/>
    <x v="6"/>
    <x v="6"/>
    <x v="6"/>
    <x v="6"/>
    <n v="90765"/>
    <x v="1"/>
    <x v="1"/>
    <x v="5"/>
  </r>
  <r>
    <s v="CUST0008"/>
    <s v="Jayan Venkatesh"/>
    <n v="35"/>
    <x v="1"/>
    <x v="4"/>
    <x v="2"/>
    <x v="7"/>
    <x v="7"/>
    <x v="7"/>
    <x v="7"/>
    <n v="37350"/>
    <x v="1"/>
    <x v="0"/>
    <x v="1"/>
  </r>
  <r>
    <s v="CUST0009"/>
    <s v="Samarth Chokshi"/>
    <n v="33"/>
    <x v="1"/>
    <x v="5"/>
    <x v="2"/>
    <x v="8"/>
    <x v="8"/>
    <x v="8"/>
    <x v="8"/>
    <n v="215294"/>
    <x v="3"/>
    <x v="1"/>
    <x v="6"/>
  </r>
  <r>
    <s v="CUST0010"/>
    <s v="Manikya Chana"/>
    <n v="23"/>
    <x v="1"/>
    <x v="0"/>
    <x v="1"/>
    <x v="9"/>
    <x v="9"/>
    <x v="9"/>
    <x v="9"/>
    <n v="218123"/>
    <x v="2"/>
    <x v="1"/>
    <x v="5"/>
  </r>
  <r>
    <s v="CUST0011"/>
    <s v="Aaryahi Saran"/>
    <n v="53"/>
    <x v="1"/>
    <x v="5"/>
    <x v="0"/>
    <x v="10"/>
    <x v="10"/>
    <x v="10"/>
    <x v="10"/>
    <n v="245648"/>
    <x v="1"/>
    <x v="1"/>
    <x v="7"/>
  </r>
  <r>
    <s v="CUST0012"/>
    <s v="Rhea Grover"/>
    <n v="28"/>
    <x v="1"/>
    <x v="6"/>
    <x v="2"/>
    <x v="11"/>
    <x v="11"/>
    <x v="11"/>
    <x v="11"/>
    <n v="138940"/>
    <x v="3"/>
    <x v="1"/>
    <x v="8"/>
  </r>
  <r>
    <s v="CUST0013"/>
    <s v="Nayantara Ahluwalia"/>
    <n v="66"/>
    <x v="1"/>
    <x v="4"/>
    <x v="0"/>
    <x v="12"/>
    <x v="12"/>
    <x v="12"/>
    <x v="12"/>
    <n v="62349"/>
    <x v="0"/>
    <x v="1"/>
    <x v="9"/>
  </r>
  <r>
    <s v="CUST0014"/>
    <s v="Nehmat Kumer"/>
    <n v="69"/>
    <x v="1"/>
    <x v="2"/>
    <x v="2"/>
    <x v="13"/>
    <x v="13"/>
    <x v="13"/>
    <x v="13"/>
    <n v="100612"/>
    <x v="3"/>
    <x v="1"/>
    <x v="10"/>
  </r>
  <r>
    <s v="CUST0015"/>
    <s v="Dishani Brar"/>
    <n v="53"/>
    <x v="0"/>
    <x v="6"/>
    <x v="1"/>
    <x v="14"/>
    <x v="14"/>
    <x v="14"/>
    <x v="14"/>
    <n v="63287"/>
    <x v="1"/>
    <x v="1"/>
    <x v="11"/>
  </r>
  <r>
    <s v="CUST0016"/>
    <s v="Seher Mangal"/>
    <n v="51"/>
    <x v="0"/>
    <x v="1"/>
    <x v="0"/>
    <x v="15"/>
    <x v="15"/>
    <x v="15"/>
    <x v="15"/>
    <n v="138354"/>
    <x v="0"/>
    <x v="0"/>
    <x v="12"/>
  </r>
  <r>
    <s v="CUST0017"/>
    <s v="Kaira Sahota"/>
    <n v="32"/>
    <x v="1"/>
    <x v="1"/>
    <x v="2"/>
    <x v="16"/>
    <x v="16"/>
    <x v="16"/>
    <x v="16"/>
    <n v="37668"/>
    <x v="2"/>
    <x v="0"/>
    <x v="13"/>
  </r>
  <r>
    <s v="CUST0018"/>
    <s v="Reyansh Dyal"/>
    <n v="68"/>
    <x v="1"/>
    <x v="0"/>
    <x v="1"/>
    <x v="17"/>
    <x v="17"/>
    <x v="17"/>
    <x v="17"/>
    <n v="143987"/>
    <x v="0"/>
    <x v="0"/>
    <x v="14"/>
  </r>
  <r>
    <s v="CUST0019"/>
    <s v="Rhea Baral"/>
    <n v="21"/>
    <x v="1"/>
    <x v="3"/>
    <x v="1"/>
    <x v="18"/>
    <x v="18"/>
    <x v="18"/>
    <x v="18"/>
    <n v="125544"/>
    <x v="3"/>
    <x v="1"/>
    <x v="11"/>
  </r>
  <r>
    <s v="CUST0020"/>
    <s v="Veer Swamy"/>
    <n v="47"/>
    <x v="0"/>
    <x v="2"/>
    <x v="2"/>
    <x v="19"/>
    <x v="19"/>
    <x v="19"/>
    <x v="19"/>
    <n v="85485"/>
    <x v="3"/>
    <x v="1"/>
    <x v="15"/>
  </r>
  <r>
    <s v="CUST0021"/>
    <s v="Bhavin Kumer"/>
    <n v="49"/>
    <x v="1"/>
    <x v="6"/>
    <x v="1"/>
    <x v="20"/>
    <x v="20"/>
    <x v="20"/>
    <x v="20"/>
    <n v="146185"/>
    <x v="1"/>
    <x v="1"/>
    <x v="16"/>
  </r>
  <r>
    <s v="CUST0022"/>
    <s v="Rasha Kakar"/>
    <n v="62"/>
    <x v="0"/>
    <x v="7"/>
    <x v="0"/>
    <x v="21"/>
    <x v="21"/>
    <x v="21"/>
    <x v="2"/>
    <n v="211497"/>
    <x v="1"/>
    <x v="0"/>
    <x v="11"/>
  </r>
  <r>
    <s v="CUST0023"/>
    <s v="Vanya Datta"/>
    <n v="21"/>
    <x v="0"/>
    <x v="3"/>
    <x v="0"/>
    <x v="22"/>
    <x v="22"/>
    <x v="12"/>
    <x v="21"/>
    <n v="173138"/>
    <x v="0"/>
    <x v="0"/>
    <x v="15"/>
  </r>
  <r>
    <s v="CUST0024"/>
    <s v="Amira Hegde"/>
    <n v="43"/>
    <x v="0"/>
    <x v="0"/>
    <x v="3"/>
    <x v="23"/>
    <x v="23"/>
    <x v="22"/>
    <x v="22"/>
    <n v="51427"/>
    <x v="1"/>
    <x v="0"/>
    <x v="15"/>
  </r>
  <r>
    <s v="CUST0025"/>
    <s v="Tara Bajaj"/>
    <n v="60"/>
    <x v="1"/>
    <x v="5"/>
    <x v="0"/>
    <x v="24"/>
    <x v="24"/>
    <x v="23"/>
    <x v="23"/>
    <n v="207745"/>
    <x v="0"/>
    <x v="1"/>
    <x v="1"/>
  </r>
  <r>
    <s v="CUST0026"/>
    <s v="Hazel Raj"/>
    <n v="57"/>
    <x v="1"/>
    <x v="2"/>
    <x v="2"/>
    <x v="25"/>
    <x v="25"/>
    <x v="24"/>
    <x v="24"/>
    <n v="167585"/>
    <x v="1"/>
    <x v="1"/>
    <x v="17"/>
  </r>
  <r>
    <s v="CUST0027"/>
    <s v="Rania Sibal"/>
    <n v="28"/>
    <x v="1"/>
    <x v="2"/>
    <x v="2"/>
    <x v="26"/>
    <x v="26"/>
    <x v="25"/>
    <x v="25"/>
    <n v="134867"/>
    <x v="1"/>
    <x v="0"/>
    <x v="5"/>
  </r>
  <r>
    <s v="CUST0028"/>
    <s v="Badal Kalla"/>
    <n v="24"/>
    <x v="1"/>
    <x v="4"/>
    <x v="3"/>
    <x v="27"/>
    <x v="27"/>
    <x v="26"/>
    <x v="26"/>
    <n v="214620"/>
    <x v="0"/>
    <x v="0"/>
    <x v="18"/>
  </r>
  <r>
    <s v="CUST0029"/>
    <s v="Amira Shenoy"/>
    <n v="58"/>
    <x v="1"/>
    <x v="3"/>
    <x v="1"/>
    <x v="28"/>
    <x v="28"/>
    <x v="27"/>
    <x v="27"/>
    <n v="131037"/>
    <x v="2"/>
    <x v="0"/>
    <x v="19"/>
  </r>
  <r>
    <s v="CUST0030"/>
    <s v="Veer Yohannan"/>
    <n v="25"/>
    <x v="1"/>
    <x v="3"/>
    <x v="1"/>
    <x v="29"/>
    <x v="29"/>
    <x v="28"/>
    <x v="28"/>
    <n v="39724"/>
    <x v="3"/>
    <x v="0"/>
    <x v="20"/>
  </r>
  <r>
    <s v="CUST0031"/>
    <s v="Mahika Bora"/>
    <n v="37"/>
    <x v="0"/>
    <x v="2"/>
    <x v="3"/>
    <x v="30"/>
    <x v="30"/>
    <x v="29"/>
    <x v="29"/>
    <n v="115591"/>
    <x v="2"/>
    <x v="0"/>
    <x v="18"/>
  </r>
  <r>
    <s v="CUST0032"/>
    <s v="Hiran Bajaj"/>
    <n v="33"/>
    <x v="0"/>
    <x v="5"/>
    <x v="1"/>
    <x v="31"/>
    <x v="31"/>
    <x v="30"/>
    <x v="30"/>
    <n v="246651"/>
    <x v="3"/>
    <x v="1"/>
    <x v="21"/>
  </r>
  <r>
    <s v="CUST0033"/>
    <s v="Dharmajan Ramanathan"/>
    <n v="28"/>
    <x v="0"/>
    <x v="4"/>
    <x v="3"/>
    <x v="32"/>
    <x v="32"/>
    <x v="31"/>
    <x v="31"/>
    <n v="226405"/>
    <x v="1"/>
    <x v="0"/>
    <x v="22"/>
  </r>
  <r>
    <s v="CUST0034"/>
    <s v="Indrans Vig"/>
    <n v="32"/>
    <x v="1"/>
    <x v="5"/>
    <x v="1"/>
    <x v="33"/>
    <x v="33"/>
    <x v="32"/>
    <x v="32"/>
    <n v="26203"/>
    <x v="1"/>
    <x v="0"/>
    <x v="10"/>
  </r>
  <r>
    <s v="CUST0035"/>
    <s v="Vaibhav Rattan"/>
    <n v="25"/>
    <x v="1"/>
    <x v="5"/>
    <x v="3"/>
    <x v="34"/>
    <x v="34"/>
    <x v="33"/>
    <x v="33"/>
    <n v="249910"/>
    <x v="2"/>
    <x v="0"/>
    <x v="23"/>
  </r>
  <r>
    <s v="CUST0036"/>
    <s v="Akarsh Chaudhuri"/>
    <n v="42"/>
    <x v="0"/>
    <x v="5"/>
    <x v="1"/>
    <x v="35"/>
    <x v="35"/>
    <x v="34"/>
    <x v="34"/>
    <n v="171149"/>
    <x v="0"/>
    <x v="1"/>
    <x v="24"/>
  </r>
  <r>
    <s v="CUST0037"/>
    <s v="Sumer Kara"/>
    <n v="57"/>
    <x v="1"/>
    <x v="5"/>
    <x v="1"/>
    <x v="36"/>
    <x v="36"/>
    <x v="35"/>
    <x v="24"/>
    <n v="102291"/>
    <x v="1"/>
    <x v="0"/>
    <x v="4"/>
  </r>
  <r>
    <s v="CUST0038"/>
    <s v="Eva Bal"/>
    <n v="30"/>
    <x v="1"/>
    <x v="7"/>
    <x v="3"/>
    <x v="37"/>
    <x v="37"/>
    <x v="36"/>
    <x v="35"/>
    <n v="130217"/>
    <x v="1"/>
    <x v="0"/>
    <x v="25"/>
  </r>
  <r>
    <s v="CUST0039"/>
    <s v="Aaina Gandhi"/>
    <n v="45"/>
    <x v="1"/>
    <x v="4"/>
    <x v="2"/>
    <x v="38"/>
    <x v="38"/>
    <x v="37"/>
    <x v="36"/>
    <n v="225981"/>
    <x v="0"/>
    <x v="1"/>
    <x v="3"/>
  </r>
  <r>
    <s v="CUST0040"/>
    <s v="Ishaan Borde"/>
    <n v="50"/>
    <x v="1"/>
    <x v="3"/>
    <x v="0"/>
    <x v="39"/>
    <x v="39"/>
    <x v="38"/>
    <x v="37"/>
    <n v="194025"/>
    <x v="0"/>
    <x v="0"/>
    <x v="4"/>
  </r>
  <r>
    <s v="CUST0041"/>
    <s v="Samar Bora"/>
    <n v="48"/>
    <x v="1"/>
    <x v="0"/>
    <x v="1"/>
    <x v="40"/>
    <x v="40"/>
    <x v="39"/>
    <x v="38"/>
    <n v="180241"/>
    <x v="2"/>
    <x v="0"/>
    <x v="26"/>
  </r>
  <r>
    <s v="CUST0042"/>
    <s v="Ira Bassi"/>
    <n v="27"/>
    <x v="1"/>
    <x v="4"/>
    <x v="0"/>
    <x v="41"/>
    <x v="41"/>
    <x v="40"/>
    <x v="39"/>
    <n v="191981"/>
    <x v="3"/>
    <x v="0"/>
    <x v="14"/>
  </r>
  <r>
    <s v="CUST0043"/>
    <s v="Badal Sandal"/>
    <n v="47"/>
    <x v="1"/>
    <x v="0"/>
    <x v="1"/>
    <x v="42"/>
    <x v="42"/>
    <x v="41"/>
    <x v="22"/>
    <n v="54954"/>
    <x v="3"/>
    <x v="1"/>
    <x v="27"/>
  </r>
  <r>
    <s v="CUST0044"/>
    <s v="Ivan Guha"/>
    <n v="46"/>
    <x v="1"/>
    <x v="1"/>
    <x v="3"/>
    <x v="43"/>
    <x v="43"/>
    <x v="42"/>
    <x v="40"/>
    <n v="87945"/>
    <x v="2"/>
    <x v="0"/>
    <x v="28"/>
  </r>
  <r>
    <s v="CUST0045"/>
    <s v="Lavanya Bobal"/>
    <n v="63"/>
    <x v="1"/>
    <x v="0"/>
    <x v="2"/>
    <x v="44"/>
    <x v="44"/>
    <x v="43"/>
    <x v="41"/>
    <n v="94901"/>
    <x v="3"/>
    <x v="0"/>
    <x v="29"/>
  </r>
  <r>
    <s v="CUST0046"/>
    <s v="Anahi Dhar"/>
    <n v="44"/>
    <x v="1"/>
    <x v="7"/>
    <x v="1"/>
    <x v="45"/>
    <x v="45"/>
    <x v="44"/>
    <x v="42"/>
    <n v="126849"/>
    <x v="2"/>
    <x v="0"/>
    <x v="30"/>
  </r>
  <r>
    <s v="CUST0047"/>
    <s v="Badal Mahal"/>
    <n v="40"/>
    <x v="1"/>
    <x v="4"/>
    <x v="2"/>
    <x v="46"/>
    <x v="46"/>
    <x v="45"/>
    <x v="43"/>
    <n v="98279"/>
    <x v="1"/>
    <x v="1"/>
    <x v="8"/>
  </r>
  <r>
    <s v="CUST0048"/>
    <s v="Heer Gill"/>
    <n v="49"/>
    <x v="1"/>
    <x v="3"/>
    <x v="0"/>
    <x v="47"/>
    <x v="47"/>
    <x v="46"/>
    <x v="44"/>
    <n v="27608"/>
    <x v="2"/>
    <x v="0"/>
    <x v="31"/>
  </r>
  <r>
    <s v="CUST0049"/>
    <s v="Jivin Seth"/>
    <n v="23"/>
    <x v="1"/>
    <x v="1"/>
    <x v="1"/>
    <x v="48"/>
    <x v="48"/>
    <x v="47"/>
    <x v="45"/>
    <n v="188492"/>
    <x v="1"/>
    <x v="1"/>
    <x v="13"/>
  </r>
  <r>
    <s v="CUST0050"/>
    <s v="Amira Garg"/>
    <n v="66"/>
    <x v="1"/>
    <x v="7"/>
    <x v="0"/>
    <x v="49"/>
    <x v="49"/>
    <x v="48"/>
    <x v="46"/>
    <n v="119385"/>
    <x v="1"/>
    <x v="0"/>
    <x v="30"/>
  </r>
  <r>
    <s v="CUST0051"/>
    <s v="Sahil Gade"/>
    <n v="59"/>
    <x v="1"/>
    <x v="3"/>
    <x v="2"/>
    <x v="50"/>
    <x v="50"/>
    <x v="49"/>
    <x v="47"/>
    <n v="37987"/>
    <x v="3"/>
    <x v="1"/>
    <x v="13"/>
  </r>
  <r>
    <s v="CUST0052"/>
    <s v="Abram Lal"/>
    <n v="60"/>
    <x v="1"/>
    <x v="3"/>
    <x v="3"/>
    <x v="51"/>
    <x v="51"/>
    <x v="50"/>
    <x v="40"/>
    <n v="49986"/>
    <x v="0"/>
    <x v="0"/>
    <x v="16"/>
  </r>
  <r>
    <s v="CUST0053"/>
    <s v="Zaina Babu"/>
    <n v="37"/>
    <x v="1"/>
    <x v="1"/>
    <x v="0"/>
    <x v="52"/>
    <x v="52"/>
    <x v="51"/>
    <x v="48"/>
    <n v="170941"/>
    <x v="1"/>
    <x v="0"/>
    <x v="0"/>
  </r>
  <r>
    <s v="CUST0054"/>
    <s v="Damini Bahl"/>
    <n v="68"/>
    <x v="1"/>
    <x v="7"/>
    <x v="1"/>
    <x v="53"/>
    <x v="53"/>
    <x v="52"/>
    <x v="49"/>
    <n v="168355"/>
    <x v="2"/>
    <x v="0"/>
    <x v="16"/>
  </r>
  <r>
    <s v="CUST0055"/>
    <s v="Kismat Chand"/>
    <n v="45"/>
    <x v="1"/>
    <x v="4"/>
    <x v="1"/>
    <x v="54"/>
    <x v="54"/>
    <x v="53"/>
    <x v="50"/>
    <n v="114945"/>
    <x v="2"/>
    <x v="1"/>
    <x v="31"/>
  </r>
  <r>
    <s v="CUST0056"/>
    <s v="Uthkarsh Hans"/>
    <n v="38"/>
    <x v="1"/>
    <x v="0"/>
    <x v="3"/>
    <x v="55"/>
    <x v="55"/>
    <x v="32"/>
    <x v="30"/>
    <n v="243271"/>
    <x v="0"/>
    <x v="1"/>
    <x v="3"/>
  </r>
  <r>
    <s v="CUST0057"/>
    <s v="Mishti Biswas"/>
    <n v="38"/>
    <x v="1"/>
    <x v="7"/>
    <x v="2"/>
    <x v="56"/>
    <x v="56"/>
    <x v="54"/>
    <x v="51"/>
    <n v="67668"/>
    <x v="0"/>
    <x v="0"/>
    <x v="17"/>
  </r>
  <r>
    <s v="CUST0058"/>
    <s v="Miraan Dar"/>
    <n v="64"/>
    <x v="1"/>
    <x v="7"/>
    <x v="0"/>
    <x v="57"/>
    <x v="57"/>
    <x v="55"/>
    <x v="52"/>
    <n v="126542"/>
    <x v="1"/>
    <x v="0"/>
    <x v="32"/>
  </r>
  <r>
    <s v="CUST0059"/>
    <s v="Khushi Ganguly"/>
    <n v="43"/>
    <x v="1"/>
    <x v="0"/>
    <x v="3"/>
    <x v="58"/>
    <x v="58"/>
    <x v="56"/>
    <x v="53"/>
    <n v="201347"/>
    <x v="1"/>
    <x v="1"/>
    <x v="33"/>
  </r>
  <r>
    <s v="CUST0060"/>
    <s v="Pihu Dugar"/>
    <n v="35"/>
    <x v="1"/>
    <x v="1"/>
    <x v="2"/>
    <x v="59"/>
    <x v="59"/>
    <x v="57"/>
    <x v="54"/>
    <n v="100379"/>
    <x v="2"/>
    <x v="1"/>
    <x v="19"/>
  </r>
  <r>
    <s v="CUST0061"/>
    <s v="Ela Basak"/>
    <n v="64"/>
    <x v="1"/>
    <x v="1"/>
    <x v="3"/>
    <x v="60"/>
    <x v="60"/>
    <x v="58"/>
    <x v="55"/>
    <n v="174556"/>
    <x v="3"/>
    <x v="1"/>
    <x v="30"/>
  </r>
  <r>
    <s v="CUST0062"/>
    <s v="Dhanush Kalita"/>
    <n v="18"/>
    <x v="0"/>
    <x v="4"/>
    <x v="0"/>
    <x v="61"/>
    <x v="61"/>
    <x v="59"/>
    <x v="56"/>
    <n v="205602"/>
    <x v="0"/>
    <x v="1"/>
    <x v="4"/>
  </r>
  <r>
    <s v="CUST0063"/>
    <s v="Zara Solanki"/>
    <n v="48"/>
    <x v="1"/>
    <x v="2"/>
    <x v="0"/>
    <x v="62"/>
    <x v="62"/>
    <x v="60"/>
    <x v="46"/>
    <n v="145492"/>
    <x v="2"/>
    <x v="1"/>
    <x v="34"/>
  </r>
  <r>
    <s v="CUST0064"/>
    <s v="Zain Mahajan"/>
    <n v="22"/>
    <x v="1"/>
    <x v="2"/>
    <x v="2"/>
    <x v="63"/>
    <x v="63"/>
    <x v="28"/>
    <x v="57"/>
    <n v="171262"/>
    <x v="0"/>
    <x v="1"/>
    <x v="25"/>
  </r>
  <r>
    <s v="CUST0065"/>
    <s v="Saira Kurian"/>
    <n v="56"/>
    <x v="1"/>
    <x v="6"/>
    <x v="1"/>
    <x v="64"/>
    <x v="64"/>
    <x v="61"/>
    <x v="58"/>
    <n v="176271"/>
    <x v="1"/>
    <x v="0"/>
    <x v="3"/>
  </r>
  <r>
    <s v="CUST0066"/>
    <s v="Anahi Lanka"/>
    <n v="57"/>
    <x v="0"/>
    <x v="1"/>
    <x v="2"/>
    <x v="65"/>
    <x v="65"/>
    <x v="62"/>
    <x v="59"/>
    <n v="214009"/>
    <x v="0"/>
    <x v="0"/>
    <x v="1"/>
  </r>
  <r>
    <s v="CUST0067"/>
    <s v="Kismat Sarna"/>
    <n v="18"/>
    <x v="1"/>
    <x v="4"/>
    <x v="0"/>
    <x v="66"/>
    <x v="66"/>
    <x v="63"/>
    <x v="60"/>
    <n v="127090"/>
    <x v="3"/>
    <x v="1"/>
    <x v="2"/>
  </r>
  <r>
    <s v="CUST0068"/>
    <s v="Elakshi Wadhwa"/>
    <n v="68"/>
    <x v="0"/>
    <x v="3"/>
    <x v="3"/>
    <x v="67"/>
    <x v="67"/>
    <x v="64"/>
    <x v="61"/>
    <n v="227420"/>
    <x v="3"/>
    <x v="0"/>
    <x v="19"/>
  </r>
  <r>
    <s v="CUST0069"/>
    <s v="Aayush Dhar"/>
    <n v="21"/>
    <x v="0"/>
    <x v="4"/>
    <x v="3"/>
    <x v="68"/>
    <x v="68"/>
    <x v="65"/>
    <x v="62"/>
    <n v="63495"/>
    <x v="2"/>
    <x v="1"/>
    <x v="4"/>
  </r>
  <r>
    <s v="CUST0070"/>
    <s v="Shayak Raja"/>
    <n v="50"/>
    <x v="1"/>
    <x v="6"/>
    <x v="0"/>
    <x v="69"/>
    <x v="69"/>
    <x v="29"/>
    <x v="63"/>
    <n v="161552"/>
    <x v="0"/>
    <x v="0"/>
    <x v="14"/>
  </r>
  <r>
    <s v="CUST0071"/>
    <s v="Hunar Contractor"/>
    <n v="61"/>
    <x v="1"/>
    <x v="7"/>
    <x v="2"/>
    <x v="70"/>
    <x v="70"/>
    <x v="66"/>
    <x v="64"/>
    <n v="239141"/>
    <x v="2"/>
    <x v="1"/>
    <x v="5"/>
  </r>
  <r>
    <s v="CUST0072"/>
    <s v="Ritvik Krishnamurthy"/>
    <n v="35"/>
    <x v="1"/>
    <x v="5"/>
    <x v="3"/>
    <x v="71"/>
    <x v="71"/>
    <x v="67"/>
    <x v="65"/>
    <n v="67576"/>
    <x v="0"/>
    <x v="0"/>
    <x v="22"/>
  </r>
  <r>
    <s v="CUST0073"/>
    <s v="Shalv Sundaram"/>
    <n v="39"/>
    <x v="0"/>
    <x v="4"/>
    <x v="0"/>
    <x v="72"/>
    <x v="72"/>
    <x v="68"/>
    <x v="66"/>
    <n v="127910"/>
    <x v="1"/>
    <x v="1"/>
    <x v="8"/>
  </r>
  <r>
    <s v="CUST0074"/>
    <s v="Veer Ravi"/>
    <n v="38"/>
    <x v="1"/>
    <x v="0"/>
    <x v="0"/>
    <x v="73"/>
    <x v="73"/>
    <x v="69"/>
    <x v="67"/>
    <n v="50388"/>
    <x v="3"/>
    <x v="1"/>
    <x v="35"/>
  </r>
  <r>
    <s v="CUST0075"/>
    <s v="Yuvaan Dass"/>
    <n v="57"/>
    <x v="0"/>
    <x v="6"/>
    <x v="1"/>
    <x v="74"/>
    <x v="74"/>
    <x v="60"/>
    <x v="68"/>
    <n v="218297"/>
    <x v="2"/>
    <x v="0"/>
    <x v="17"/>
  </r>
  <r>
    <s v="CUST0076"/>
    <s v="Shray Amble"/>
    <n v="19"/>
    <x v="1"/>
    <x v="2"/>
    <x v="2"/>
    <x v="75"/>
    <x v="75"/>
    <x v="70"/>
    <x v="69"/>
    <n v="185156"/>
    <x v="0"/>
    <x v="1"/>
    <x v="33"/>
  </r>
  <r>
    <s v="CUST0077"/>
    <s v="Riya Seshadri"/>
    <n v="25"/>
    <x v="1"/>
    <x v="4"/>
    <x v="1"/>
    <x v="76"/>
    <x v="76"/>
    <x v="63"/>
    <x v="70"/>
    <n v="189793"/>
    <x v="3"/>
    <x v="1"/>
    <x v="32"/>
  </r>
  <r>
    <s v="CUST0078"/>
    <s v="Indranil Bala"/>
    <n v="53"/>
    <x v="1"/>
    <x v="6"/>
    <x v="1"/>
    <x v="77"/>
    <x v="77"/>
    <x v="71"/>
    <x v="71"/>
    <n v="57917"/>
    <x v="1"/>
    <x v="1"/>
    <x v="7"/>
  </r>
  <r>
    <s v="CUST0079"/>
    <s v="Tiya Sampath"/>
    <n v="70"/>
    <x v="1"/>
    <x v="4"/>
    <x v="1"/>
    <x v="78"/>
    <x v="78"/>
    <x v="72"/>
    <x v="17"/>
    <n v="20672"/>
    <x v="1"/>
    <x v="1"/>
    <x v="36"/>
  </r>
  <r>
    <s v="CUST0080"/>
    <s v="Pari Jayaraman"/>
    <n v="53"/>
    <x v="1"/>
    <x v="0"/>
    <x v="2"/>
    <x v="79"/>
    <x v="79"/>
    <x v="73"/>
    <x v="72"/>
    <n v="219982"/>
    <x v="2"/>
    <x v="0"/>
    <x v="11"/>
  </r>
  <r>
    <s v="CUST0081"/>
    <s v="Saksham Varty"/>
    <n v="38"/>
    <x v="1"/>
    <x v="4"/>
    <x v="0"/>
    <x v="80"/>
    <x v="80"/>
    <x v="74"/>
    <x v="73"/>
    <n v="215219"/>
    <x v="3"/>
    <x v="1"/>
    <x v="35"/>
  </r>
  <r>
    <s v="CUST0082"/>
    <s v="Devansh Sehgal"/>
    <n v="24"/>
    <x v="1"/>
    <x v="3"/>
    <x v="0"/>
    <x v="81"/>
    <x v="81"/>
    <x v="75"/>
    <x v="74"/>
    <n v="249163"/>
    <x v="2"/>
    <x v="1"/>
    <x v="0"/>
  </r>
  <r>
    <s v="CUST0083"/>
    <s v="Jivika Gaba"/>
    <n v="39"/>
    <x v="1"/>
    <x v="5"/>
    <x v="1"/>
    <x v="82"/>
    <x v="82"/>
    <x v="76"/>
    <x v="75"/>
    <n v="183383"/>
    <x v="0"/>
    <x v="0"/>
    <x v="5"/>
  </r>
  <r>
    <s v="CUST0084"/>
    <s v="Aarav Desai"/>
    <n v="33"/>
    <x v="1"/>
    <x v="2"/>
    <x v="1"/>
    <x v="83"/>
    <x v="83"/>
    <x v="77"/>
    <x v="71"/>
    <n v="185455"/>
    <x v="3"/>
    <x v="1"/>
    <x v="23"/>
  </r>
  <r>
    <s v="CUST0085"/>
    <s v="Vardaniya Srinivasan"/>
    <n v="19"/>
    <x v="1"/>
    <x v="0"/>
    <x v="2"/>
    <x v="84"/>
    <x v="84"/>
    <x v="78"/>
    <x v="76"/>
    <n v="32056"/>
    <x v="3"/>
    <x v="0"/>
    <x v="14"/>
  </r>
  <r>
    <s v="CUST0086"/>
    <s v="Heer Roy"/>
    <n v="23"/>
    <x v="1"/>
    <x v="1"/>
    <x v="1"/>
    <x v="85"/>
    <x v="85"/>
    <x v="79"/>
    <x v="77"/>
    <n v="179774"/>
    <x v="1"/>
    <x v="1"/>
    <x v="37"/>
  </r>
  <r>
    <s v="CUST0087"/>
    <s v="Hrishita Saxena"/>
    <n v="34"/>
    <x v="1"/>
    <x v="4"/>
    <x v="3"/>
    <x v="86"/>
    <x v="86"/>
    <x v="80"/>
    <x v="78"/>
    <n v="194808"/>
    <x v="1"/>
    <x v="1"/>
    <x v="33"/>
  </r>
  <r>
    <s v="CUST0088"/>
    <s v="Hansh Yogi"/>
    <n v="62"/>
    <x v="1"/>
    <x v="0"/>
    <x v="3"/>
    <x v="87"/>
    <x v="87"/>
    <x v="81"/>
    <x v="75"/>
    <n v="85561"/>
    <x v="1"/>
    <x v="1"/>
    <x v="22"/>
  </r>
  <r>
    <s v="CUST0089"/>
    <s v="Samarth Lalla"/>
    <n v="19"/>
    <x v="1"/>
    <x v="4"/>
    <x v="3"/>
    <x v="88"/>
    <x v="88"/>
    <x v="82"/>
    <x v="32"/>
    <n v="237589"/>
    <x v="3"/>
    <x v="1"/>
    <x v="5"/>
  </r>
  <r>
    <s v="CUST0090"/>
    <s v="Siya Borde"/>
    <n v="32"/>
    <x v="1"/>
    <x v="6"/>
    <x v="1"/>
    <x v="89"/>
    <x v="89"/>
    <x v="83"/>
    <x v="79"/>
    <n v="186885"/>
    <x v="0"/>
    <x v="1"/>
    <x v="23"/>
  </r>
  <r>
    <s v="CUST0091"/>
    <s v="Charvi Hans"/>
    <n v="64"/>
    <x v="1"/>
    <x v="6"/>
    <x v="2"/>
    <x v="90"/>
    <x v="90"/>
    <x v="84"/>
    <x v="80"/>
    <n v="54448"/>
    <x v="1"/>
    <x v="1"/>
    <x v="11"/>
  </r>
  <r>
    <s v="CUST0092"/>
    <s v="Hazel Talwar"/>
    <n v="69"/>
    <x v="1"/>
    <x v="1"/>
    <x v="1"/>
    <x v="91"/>
    <x v="91"/>
    <x v="10"/>
    <x v="81"/>
    <n v="97369"/>
    <x v="1"/>
    <x v="0"/>
    <x v="38"/>
  </r>
  <r>
    <s v="CUST0093"/>
    <s v="Mishti Char"/>
    <n v="68"/>
    <x v="1"/>
    <x v="0"/>
    <x v="3"/>
    <x v="92"/>
    <x v="92"/>
    <x v="85"/>
    <x v="82"/>
    <n v="123435"/>
    <x v="0"/>
    <x v="0"/>
    <x v="5"/>
  </r>
  <r>
    <s v="CUST0094"/>
    <s v="Faiyaz Saraf"/>
    <n v="48"/>
    <x v="1"/>
    <x v="4"/>
    <x v="3"/>
    <x v="93"/>
    <x v="93"/>
    <x v="86"/>
    <x v="83"/>
    <n v="26560"/>
    <x v="2"/>
    <x v="0"/>
    <x v="12"/>
  </r>
  <r>
    <s v="CUST0095"/>
    <s v="Tara Dayal"/>
    <n v="26"/>
    <x v="1"/>
    <x v="0"/>
    <x v="1"/>
    <x v="94"/>
    <x v="94"/>
    <x v="87"/>
    <x v="84"/>
    <n v="31887"/>
    <x v="1"/>
    <x v="1"/>
    <x v="23"/>
  </r>
  <r>
    <s v="CUST0096"/>
    <s v="Purab Balasubramanian"/>
    <n v="55"/>
    <x v="1"/>
    <x v="6"/>
    <x v="0"/>
    <x v="95"/>
    <x v="95"/>
    <x v="88"/>
    <x v="85"/>
    <n v="214581"/>
    <x v="1"/>
    <x v="0"/>
    <x v="36"/>
  </r>
  <r>
    <s v="CUST0097"/>
    <s v="Indranil Dash"/>
    <n v="46"/>
    <x v="1"/>
    <x v="7"/>
    <x v="1"/>
    <x v="96"/>
    <x v="96"/>
    <x v="88"/>
    <x v="86"/>
    <n v="136574"/>
    <x v="1"/>
    <x v="0"/>
    <x v="16"/>
  </r>
  <r>
    <s v="CUST0098"/>
    <s v="Gatik Bansal"/>
    <n v="25"/>
    <x v="1"/>
    <x v="7"/>
    <x v="3"/>
    <x v="97"/>
    <x v="97"/>
    <x v="89"/>
    <x v="87"/>
    <n v="242306"/>
    <x v="3"/>
    <x v="0"/>
    <x v="1"/>
  </r>
  <r>
    <s v="CUST0099"/>
    <s v="Abram Bal"/>
    <n v="68"/>
    <x v="1"/>
    <x v="5"/>
    <x v="2"/>
    <x v="98"/>
    <x v="98"/>
    <x v="90"/>
    <x v="88"/>
    <n v="168000"/>
    <x v="0"/>
    <x v="1"/>
    <x v="25"/>
  </r>
  <r>
    <s v="CUST0100"/>
    <s v="Dharmajan Deol"/>
    <n v="27"/>
    <x v="1"/>
    <x v="7"/>
    <x v="3"/>
    <x v="99"/>
    <x v="99"/>
    <x v="91"/>
    <x v="49"/>
    <n v="54076"/>
    <x v="3"/>
    <x v="1"/>
    <x v="7"/>
  </r>
  <r>
    <s v="CUST0101"/>
    <s v="Advik Khatri"/>
    <n v="19"/>
    <x v="1"/>
    <x v="4"/>
    <x v="1"/>
    <x v="100"/>
    <x v="100"/>
    <x v="48"/>
    <x v="89"/>
    <n v="65677"/>
    <x v="1"/>
    <x v="0"/>
    <x v="19"/>
  </r>
  <r>
    <s v="CUST0102"/>
    <s v="Manjari Dube"/>
    <n v="46"/>
    <x v="1"/>
    <x v="7"/>
    <x v="1"/>
    <x v="101"/>
    <x v="101"/>
    <x v="92"/>
    <x v="90"/>
    <n v="152078"/>
    <x v="2"/>
    <x v="1"/>
    <x v="3"/>
  </r>
  <r>
    <s v="CUST0103"/>
    <s v="Tanya Rau"/>
    <n v="61"/>
    <x v="1"/>
    <x v="2"/>
    <x v="2"/>
    <x v="102"/>
    <x v="102"/>
    <x v="93"/>
    <x v="29"/>
    <n v="48301"/>
    <x v="1"/>
    <x v="1"/>
    <x v="10"/>
  </r>
  <r>
    <s v="CUST0104"/>
    <s v="Badal Sen"/>
    <n v="42"/>
    <x v="1"/>
    <x v="1"/>
    <x v="1"/>
    <x v="103"/>
    <x v="103"/>
    <x v="94"/>
    <x v="19"/>
    <n v="176602"/>
    <x v="2"/>
    <x v="0"/>
    <x v="39"/>
  </r>
  <r>
    <s v="CUST0105"/>
    <s v="Oorja Bir"/>
    <n v="44"/>
    <x v="1"/>
    <x v="5"/>
    <x v="2"/>
    <x v="104"/>
    <x v="104"/>
    <x v="95"/>
    <x v="91"/>
    <n v="108848"/>
    <x v="2"/>
    <x v="0"/>
    <x v="14"/>
  </r>
  <r>
    <s v="CUST0106"/>
    <s v="Navya Kar"/>
    <n v="23"/>
    <x v="1"/>
    <x v="5"/>
    <x v="0"/>
    <x v="105"/>
    <x v="105"/>
    <x v="96"/>
    <x v="57"/>
    <n v="238044"/>
    <x v="2"/>
    <x v="1"/>
    <x v="19"/>
  </r>
  <r>
    <s v="CUST0107"/>
    <s v="Baiju Upadhyay"/>
    <n v="60"/>
    <x v="1"/>
    <x v="5"/>
    <x v="0"/>
    <x v="106"/>
    <x v="106"/>
    <x v="60"/>
    <x v="92"/>
    <n v="216682"/>
    <x v="3"/>
    <x v="0"/>
    <x v="4"/>
  </r>
  <r>
    <s v="CUST0108"/>
    <s v="Veer Sheth"/>
    <n v="60"/>
    <x v="1"/>
    <x v="1"/>
    <x v="1"/>
    <x v="107"/>
    <x v="107"/>
    <x v="97"/>
    <x v="82"/>
    <n v="146403"/>
    <x v="0"/>
    <x v="1"/>
    <x v="19"/>
  </r>
  <r>
    <s v="CUST0109"/>
    <s v="Anvi Iyer"/>
    <n v="19"/>
    <x v="1"/>
    <x v="0"/>
    <x v="0"/>
    <x v="108"/>
    <x v="108"/>
    <x v="98"/>
    <x v="93"/>
    <n v="67294"/>
    <x v="3"/>
    <x v="0"/>
    <x v="9"/>
  </r>
  <r>
    <s v="CUST0110"/>
    <s v="Stuvan Hans"/>
    <n v="23"/>
    <x v="1"/>
    <x v="5"/>
    <x v="0"/>
    <x v="109"/>
    <x v="109"/>
    <x v="99"/>
    <x v="51"/>
    <n v="215588"/>
    <x v="0"/>
    <x v="0"/>
    <x v="29"/>
  </r>
  <r>
    <s v="CUST0111"/>
    <s v="Madhav Yohannan"/>
    <n v="28"/>
    <x v="1"/>
    <x v="4"/>
    <x v="1"/>
    <x v="110"/>
    <x v="110"/>
    <x v="100"/>
    <x v="36"/>
    <n v="217770"/>
    <x v="1"/>
    <x v="0"/>
    <x v="1"/>
  </r>
  <r>
    <s v="CUST0112"/>
    <s v="Aaina Bassi"/>
    <n v="66"/>
    <x v="1"/>
    <x v="6"/>
    <x v="0"/>
    <x v="111"/>
    <x v="111"/>
    <x v="101"/>
    <x v="94"/>
    <n v="154308"/>
    <x v="3"/>
    <x v="1"/>
    <x v="5"/>
  </r>
  <r>
    <s v="CUST0113"/>
    <s v="Seher Goswami"/>
    <n v="56"/>
    <x v="1"/>
    <x v="6"/>
    <x v="3"/>
    <x v="112"/>
    <x v="112"/>
    <x v="62"/>
    <x v="40"/>
    <n v="34360"/>
    <x v="0"/>
    <x v="0"/>
    <x v="19"/>
  </r>
  <r>
    <s v="CUST0114"/>
    <s v="Keya Sundaram"/>
    <n v="49"/>
    <x v="1"/>
    <x v="2"/>
    <x v="1"/>
    <x v="113"/>
    <x v="113"/>
    <x v="102"/>
    <x v="95"/>
    <n v="215825"/>
    <x v="0"/>
    <x v="1"/>
    <x v="2"/>
  </r>
  <r>
    <s v="CUST0115"/>
    <s v="Shray Mammen"/>
    <n v="19"/>
    <x v="1"/>
    <x v="6"/>
    <x v="0"/>
    <x v="114"/>
    <x v="114"/>
    <x v="103"/>
    <x v="8"/>
    <n v="140521"/>
    <x v="2"/>
    <x v="0"/>
    <x v="25"/>
  </r>
  <r>
    <s v="CUST0116"/>
    <s v="Siya Kakar"/>
    <n v="38"/>
    <x v="1"/>
    <x v="1"/>
    <x v="1"/>
    <x v="115"/>
    <x v="115"/>
    <x v="104"/>
    <x v="96"/>
    <n v="65055"/>
    <x v="2"/>
    <x v="0"/>
    <x v="14"/>
  </r>
  <r>
    <s v="CUST0117"/>
    <s v="Mahika Rama"/>
    <n v="43"/>
    <x v="1"/>
    <x v="1"/>
    <x v="3"/>
    <x v="116"/>
    <x v="116"/>
    <x v="27"/>
    <x v="39"/>
    <n v="248202"/>
    <x v="1"/>
    <x v="0"/>
    <x v="31"/>
  </r>
  <r>
    <s v="CUST0118"/>
    <s v="Vanya Divan"/>
    <n v="33"/>
    <x v="1"/>
    <x v="3"/>
    <x v="1"/>
    <x v="117"/>
    <x v="117"/>
    <x v="53"/>
    <x v="97"/>
    <n v="46949"/>
    <x v="2"/>
    <x v="1"/>
    <x v="8"/>
  </r>
  <r>
    <s v="CUST0119"/>
    <s v="Anay Dyal"/>
    <n v="61"/>
    <x v="1"/>
    <x v="3"/>
    <x v="1"/>
    <x v="118"/>
    <x v="118"/>
    <x v="105"/>
    <x v="32"/>
    <n v="167978"/>
    <x v="0"/>
    <x v="1"/>
    <x v="38"/>
  </r>
  <r>
    <s v="CUST0120"/>
    <s v="Nehmat Sibal"/>
    <n v="46"/>
    <x v="1"/>
    <x v="4"/>
    <x v="1"/>
    <x v="119"/>
    <x v="119"/>
    <x v="106"/>
    <x v="98"/>
    <n v="185513"/>
    <x v="0"/>
    <x v="0"/>
    <x v="36"/>
  </r>
  <r>
    <s v="CUST0121"/>
    <s v="Kanav Mane"/>
    <n v="41"/>
    <x v="1"/>
    <x v="4"/>
    <x v="0"/>
    <x v="120"/>
    <x v="120"/>
    <x v="107"/>
    <x v="99"/>
    <n v="238024"/>
    <x v="2"/>
    <x v="0"/>
    <x v="12"/>
  </r>
  <r>
    <s v="CUST0122"/>
    <s v="Rhea Karpe"/>
    <n v="38"/>
    <x v="1"/>
    <x v="2"/>
    <x v="2"/>
    <x v="121"/>
    <x v="121"/>
    <x v="44"/>
    <x v="100"/>
    <n v="178598"/>
    <x v="0"/>
    <x v="0"/>
    <x v="23"/>
  </r>
  <r>
    <s v="CUST0123"/>
    <s v="Veer Ram"/>
    <n v="63"/>
    <x v="1"/>
    <x v="0"/>
    <x v="1"/>
    <x v="122"/>
    <x v="122"/>
    <x v="70"/>
    <x v="101"/>
    <n v="134755"/>
    <x v="1"/>
    <x v="0"/>
    <x v="16"/>
  </r>
  <r>
    <s v="CUST0124"/>
    <s v="Nakul Sule"/>
    <n v="68"/>
    <x v="1"/>
    <x v="6"/>
    <x v="2"/>
    <x v="123"/>
    <x v="123"/>
    <x v="108"/>
    <x v="102"/>
    <n v="185383"/>
    <x v="1"/>
    <x v="0"/>
    <x v="5"/>
  </r>
  <r>
    <s v="CUST0125"/>
    <s v="Yashvi Comar"/>
    <n v="55"/>
    <x v="1"/>
    <x v="6"/>
    <x v="1"/>
    <x v="124"/>
    <x v="124"/>
    <x v="109"/>
    <x v="103"/>
    <n v="193961"/>
    <x v="1"/>
    <x v="0"/>
    <x v="12"/>
  </r>
  <r>
    <s v="CUST0126"/>
    <s v="Vaibhav Sandal"/>
    <n v="60"/>
    <x v="1"/>
    <x v="5"/>
    <x v="0"/>
    <x v="125"/>
    <x v="125"/>
    <x v="110"/>
    <x v="104"/>
    <n v="204242"/>
    <x v="1"/>
    <x v="1"/>
    <x v="1"/>
  </r>
  <r>
    <s v="CUST0127"/>
    <s v="Gatik Trivedi"/>
    <n v="29"/>
    <x v="0"/>
    <x v="2"/>
    <x v="3"/>
    <x v="126"/>
    <x v="126"/>
    <x v="111"/>
    <x v="105"/>
    <n v="76149"/>
    <x v="0"/>
    <x v="0"/>
    <x v="35"/>
  </r>
  <r>
    <s v="CUST0128"/>
    <s v="Tarini Sibal"/>
    <n v="60"/>
    <x v="1"/>
    <x v="4"/>
    <x v="0"/>
    <x v="127"/>
    <x v="127"/>
    <x v="112"/>
    <x v="106"/>
    <n v="108280"/>
    <x v="2"/>
    <x v="1"/>
    <x v="29"/>
  </r>
  <r>
    <s v="CUST0129"/>
    <s v="Eshani Chandran"/>
    <n v="61"/>
    <x v="1"/>
    <x v="1"/>
    <x v="2"/>
    <x v="128"/>
    <x v="128"/>
    <x v="113"/>
    <x v="107"/>
    <n v="208635"/>
    <x v="1"/>
    <x v="1"/>
    <x v="8"/>
  </r>
  <r>
    <s v="CUST0130"/>
    <s v="Zeeshan Tank"/>
    <n v="30"/>
    <x v="1"/>
    <x v="0"/>
    <x v="2"/>
    <x v="129"/>
    <x v="129"/>
    <x v="114"/>
    <x v="108"/>
    <n v="116427"/>
    <x v="3"/>
    <x v="0"/>
    <x v="28"/>
  </r>
  <r>
    <s v="CUST0131"/>
    <s v="Zain Sandal"/>
    <n v="34"/>
    <x v="1"/>
    <x v="6"/>
    <x v="0"/>
    <x v="130"/>
    <x v="130"/>
    <x v="90"/>
    <x v="109"/>
    <n v="33678"/>
    <x v="3"/>
    <x v="1"/>
    <x v="23"/>
  </r>
  <r>
    <s v="CUST0132"/>
    <s v="Aarna Aggarwal"/>
    <n v="46"/>
    <x v="1"/>
    <x v="7"/>
    <x v="1"/>
    <x v="131"/>
    <x v="131"/>
    <x v="115"/>
    <x v="110"/>
    <n v="154572"/>
    <x v="0"/>
    <x v="1"/>
    <x v="3"/>
  </r>
  <r>
    <s v="CUST0133"/>
    <s v="Anya Tailor"/>
    <n v="50"/>
    <x v="1"/>
    <x v="5"/>
    <x v="2"/>
    <x v="132"/>
    <x v="132"/>
    <x v="116"/>
    <x v="111"/>
    <n v="118031"/>
    <x v="3"/>
    <x v="0"/>
    <x v="20"/>
  </r>
  <r>
    <s v="CUST0134"/>
    <s v="Sara Talwar"/>
    <n v="36"/>
    <x v="0"/>
    <x v="7"/>
    <x v="3"/>
    <x v="133"/>
    <x v="133"/>
    <x v="117"/>
    <x v="112"/>
    <n v="237517"/>
    <x v="3"/>
    <x v="0"/>
    <x v="26"/>
  </r>
  <r>
    <s v="CUST0135"/>
    <s v="Aaina De"/>
    <n v="53"/>
    <x v="1"/>
    <x v="1"/>
    <x v="1"/>
    <x v="134"/>
    <x v="134"/>
    <x v="118"/>
    <x v="113"/>
    <n v="210640"/>
    <x v="2"/>
    <x v="0"/>
    <x v="4"/>
  </r>
  <r>
    <s v="CUST0136"/>
    <s v="Raunak Vohra"/>
    <n v="25"/>
    <x v="1"/>
    <x v="3"/>
    <x v="3"/>
    <x v="135"/>
    <x v="135"/>
    <x v="119"/>
    <x v="114"/>
    <n v="239332"/>
    <x v="2"/>
    <x v="0"/>
    <x v="24"/>
  </r>
  <r>
    <s v="CUST0137"/>
    <s v="Anaya Kamdar"/>
    <n v="57"/>
    <x v="1"/>
    <x v="7"/>
    <x v="1"/>
    <x v="136"/>
    <x v="136"/>
    <x v="120"/>
    <x v="115"/>
    <n v="112488"/>
    <x v="2"/>
    <x v="0"/>
    <x v="38"/>
  </r>
  <r>
    <s v="CUST0138"/>
    <s v="Diya Chana"/>
    <n v="58"/>
    <x v="1"/>
    <x v="1"/>
    <x v="0"/>
    <x v="137"/>
    <x v="137"/>
    <x v="119"/>
    <x v="116"/>
    <n v="121418"/>
    <x v="1"/>
    <x v="0"/>
    <x v="39"/>
  </r>
  <r>
    <s v="CUST0139"/>
    <s v="Nirvi Gera"/>
    <n v="20"/>
    <x v="1"/>
    <x v="4"/>
    <x v="2"/>
    <x v="138"/>
    <x v="138"/>
    <x v="121"/>
    <x v="117"/>
    <n v="112353"/>
    <x v="3"/>
    <x v="0"/>
    <x v="28"/>
  </r>
  <r>
    <s v="CUST0140"/>
    <s v="Aayush Barad"/>
    <n v="63"/>
    <x v="1"/>
    <x v="5"/>
    <x v="3"/>
    <x v="139"/>
    <x v="139"/>
    <x v="122"/>
    <x v="118"/>
    <n v="223473"/>
    <x v="2"/>
    <x v="1"/>
    <x v="39"/>
  </r>
  <r>
    <s v="CUST0141"/>
    <s v="Suhana Solanki"/>
    <n v="34"/>
    <x v="1"/>
    <x v="6"/>
    <x v="0"/>
    <x v="140"/>
    <x v="140"/>
    <x v="123"/>
    <x v="119"/>
    <n v="29599"/>
    <x v="1"/>
    <x v="1"/>
    <x v="28"/>
  </r>
  <r>
    <s v="CUST0142"/>
    <s v="Bhamini Bawa"/>
    <n v="43"/>
    <x v="1"/>
    <x v="5"/>
    <x v="3"/>
    <x v="141"/>
    <x v="141"/>
    <x v="98"/>
    <x v="120"/>
    <n v="214853"/>
    <x v="0"/>
    <x v="1"/>
    <x v="36"/>
  </r>
  <r>
    <s v="CUST0143"/>
    <s v="Prerak Bhatnagar"/>
    <n v="23"/>
    <x v="0"/>
    <x v="5"/>
    <x v="3"/>
    <x v="142"/>
    <x v="142"/>
    <x v="124"/>
    <x v="121"/>
    <n v="132881"/>
    <x v="1"/>
    <x v="1"/>
    <x v="27"/>
  </r>
  <r>
    <s v="CUST0144"/>
    <s v="Taran Mallick"/>
    <n v="56"/>
    <x v="1"/>
    <x v="0"/>
    <x v="3"/>
    <x v="143"/>
    <x v="143"/>
    <x v="125"/>
    <x v="122"/>
    <n v="208131"/>
    <x v="0"/>
    <x v="0"/>
    <x v="15"/>
  </r>
  <r>
    <s v="CUST0145"/>
    <s v="Devansh Kara"/>
    <n v="60"/>
    <x v="1"/>
    <x v="7"/>
    <x v="2"/>
    <x v="144"/>
    <x v="144"/>
    <x v="9"/>
    <x v="123"/>
    <n v="187120"/>
    <x v="0"/>
    <x v="0"/>
    <x v="20"/>
  </r>
  <r>
    <s v="CUST0146"/>
    <s v="Aradhya Banerjee"/>
    <n v="67"/>
    <x v="1"/>
    <x v="5"/>
    <x v="3"/>
    <x v="145"/>
    <x v="145"/>
    <x v="13"/>
    <x v="60"/>
    <n v="189125"/>
    <x v="2"/>
    <x v="0"/>
    <x v="12"/>
  </r>
  <r>
    <s v="CUST0147"/>
    <s v="Advika Bobal"/>
    <n v="54"/>
    <x v="1"/>
    <x v="3"/>
    <x v="1"/>
    <x v="146"/>
    <x v="146"/>
    <x v="32"/>
    <x v="18"/>
    <n v="56095"/>
    <x v="2"/>
    <x v="0"/>
    <x v="34"/>
  </r>
  <r>
    <s v="CUST0148"/>
    <s v="Neelofar Sharma"/>
    <n v="34"/>
    <x v="1"/>
    <x v="1"/>
    <x v="0"/>
    <x v="147"/>
    <x v="147"/>
    <x v="126"/>
    <x v="124"/>
    <n v="223152"/>
    <x v="3"/>
    <x v="0"/>
    <x v="37"/>
  </r>
  <r>
    <s v="CUST0149"/>
    <s v="Pihu Reddy"/>
    <n v="46"/>
    <x v="1"/>
    <x v="5"/>
    <x v="0"/>
    <x v="148"/>
    <x v="148"/>
    <x v="127"/>
    <x v="125"/>
    <n v="65260"/>
    <x v="1"/>
    <x v="1"/>
    <x v="5"/>
  </r>
  <r>
    <s v="CUST0150"/>
    <s v="Aayush Mahajan"/>
    <n v="28"/>
    <x v="0"/>
    <x v="2"/>
    <x v="2"/>
    <x v="149"/>
    <x v="149"/>
    <x v="36"/>
    <x v="126"/>
    <n v="206596"/>
    <x v="3"/>
    <x v="0"/>
    <x v="18"/>
  </r>
  <r>
    <s v="CUST0151"/>
    <s v="Akarsh Agarwal"/>
    <n v="68"/>
    <x v="1"/>
    <x v="2"/>
    <x v="0"/>
    <x v="150"/>
    <x v="150"/>
    <x v="56"/>
    <x v="81"/>
    <n v="149504"/>
    <x v="1"/>
    <x v="1"/>
    <x v="39"/>
  </r>
  <r>
    <s v="CUST0152"/>
    <s v="Neelofar Kale"/>
    <n v="63"/>
    <x v="0"/>
    <x v="5"/>
    <x v="0"/>
    <x v="151"/>
    <x v="151"/>
    <x v="128"/>
    <x v="127"/>
    <n v="208447"/>
    <x v="2"/>
    <x v="1"/>
    <x v="25"/>
  </r>
  <r>
    <s v="CUST0153"/>
    <s v="Gokul Singhal"/>
    <n v="61"/>
    <x v="0"/>
    <x v="0"/>
    <x v="0"/>
    <x v="152"/>
    <x v="152"/>
    <x v="129"/>
    <x v="128"/>
    <n v="155622"/>
    <x v="0"/>
    <x v="0"/>
    <x v="12"/>
  </r>
  <r>
    <s v="CUST0154"/>
    <s v="Trisha Bhardwaj"/>
    <n v="37"/>
    <x v="1"/>
    <x v="2"/>
    <x v="3"/>
    <x v="153"/>
    <x v="153"/>
    <x v="130"/>
    <x v="129"/>
    <n v="63163"/>
    <x v="3"/>
    <x v="1"/>
    <x v="34"/>
  </r>
  <r>
    <s v="CUST0155"/>
    <s v="Kismat Goda"/>
    <n v="26"/>
    <x v="0"/>
    <x v="3"/>
    <x v="3"/>
    <x v="154"/>
    <x v="154"/>
    <x v="131"/>
    <x v="87"/>
    <n v="183845"/>
    <x v="0"/>
    <x v="0"/>
    <x v="31"/>
  </r>
  <r>
    <s v="CUST0156"/>
    <s v="Kabir Kadakia"/>
    <n v="23"/>
    <x v="1"/>
    <x v="7"/>
    <x v="1"/>
    <x v="155"/>
    <x v="155"/>
    <x v="33"/>
    <x v="130"/>
    <n v="31917"/>
    <x v="1"/>
    <x v="1"/>
    <x v="11"/>
  </r>
  <r>
    <s v="CUST0157"/>
    <s v="Nitya Bhagat"/>
    <n v="48"/>
    <x v="0"/>
    <x v="3"/>
    <x v="1"/>
    <x v="156"/>
    <x v="156"/>
    <x v="132"/>
    <x v="131"/>
    <n v="84193"/>
    <x v="2"/>
    <x v="1"/>
    <x v="10"/>
  </r>
  <r>
    <s v="CUST0158"/>
    <s v="Tiya Sehgal"/>
    <n v="47"/>
    <x v="1"/>
    <x v="0"/>
    <x v="2"/>
    <x v="157"/>
    <x v="157"/>
    <x v="133"/>
    <x v="132"/>
    <n v="73483"/>
    <x v="1"/>
    <x v="0"/>
    <x v="35"/>
  </r>
  <r>
    <s v="CUST0159"/>
    <s v="Hazel Bandi"/>
    <n v="38"/>
    <x v="1"/>
    <x v="0"/>
    <x v="1"/>
    <x v="158"/>
    <x v="158"/>
    <x v="134"/>
    <x v="133"/>
    <n v="83370"/>
    <x v="3"/>
    <x v="0"/>
    <x v="23"/>
  </r>
  <r>
    <s v="CUST0160"/>
    <s v="Zaina Bhandari"/>
    <n v="70"/>
    <x v="1"/>
    <x v="4"/>
    <x v="3"/>
    <x v="159"/>
    <x v="159"/>
    <x v="135"/>
    <x v="134"/>
    <n v="105835"/>
    <x v="2"/>
    <x v="0"/>
    <x v="29"/>
  </r>
  <r>
    <s v="CUST0161"/>
    <s v="Madhav Goel"/>
    <n v="23"/>
    <x v="0"/>
    <x v="6"/>
    <x v="1"/>
    <x v="160"/>
    <x v="160"/>
    <x v="136"/>
    <x v="135"/>
    <n v="123086"/>
    <x v="2"/>
    <x v="1"/>
    <x v="18"/>
  </r>
  <r>
    <s v="CUST0162"/>
    <s v="Ehsaan Kurian"/>
    <n v="52"/>
    <x v="1"/>
    <x v="5"/>
    <x v="0"/>
    <x v="161"/>
    <x v="161"/>
    <x v="137"/>
    <x v="136"/>
    <n v="22143"/>
    <x v="2"/>
    <x v="0"/>
    <x v="16"/>
  </r>
  <r>
    <s v="CUST0163"/>
    <s v="Anahi Chad"/>
    <n v="54"/>
    <x v="1"/>
    <x v="2"/>
    <x v="2"/>
    <x v="162"/>
    <x v="162"/>
    <x v="93"/>
    <x v="73"/>
    <n v="167276"/>
    <x v="0"/>
    <x v="1"/>
    <x v="36"/>
  </r>
  <r>
    <s v="CUST0164"/>
    <s v="Romil Chatterjee"/>
    <n v="41"/>
    <x v="1"/>
    <x v="7"/>
    <x v="0"/>
    <x v="163"/>
    <x v="163"/>
    <x v="138"/>
    <x v="137"/>
    <n v="228377"/>
    <x v="0"/>
    <x v="0"/>
    <x v="29"/>
  </r>
  <r>
    <s v="CUST0165"/>
    <s v="Aarav Ravel"/>
    <n v="63"/>
    <x v="0"/>
    <x v="5"/>
    <x v="3"/>
    <x v="164"/>
    <x v="164"/>
    <x v="28"/>
    <x v="138"/>
    <n v="107304"/>
    <x v="3"/>
    <x v="1"/>
    <x v="6"/>
  </r>
  <r>
    <s v="CUST0166"/>
    <s v="Oorja Bhagat"/>
    <n v="57"/>
    <x v="1"/>
    <x v="6"/>
    <x v="1"/>
    <x v="165"/>
    <x v="165"/>
    <x v="139"/>
    <x v="139"/>
    <n v="213808"/>
    <x v="0"/>
    <x v="1"/>
    <x v="36"/>
  </r>
  <r>
    <s v="CUST0167"/>
    <s v="Aarush Bansal"/>
    <n v="39"/>
    <x v="0"/>
    <x v="4"/>
    <x v="3"/>
    <x v="166"/>
    <x v="166"/>
    <x v="140"/>
    <x v="140"/>
    <n v="196634"/>
    <x v="3"/>
    <x v="0"/>
    <x v="6"/>
  </r>
  <r>
    <s v="CUST0168"/>
    <s v="Alisha Bhakta"/>
    <n v="55"/>
    <x v="0"/>
    <x v="7"/>
    <x v="0"/>
    <x v="167"/>
    <x v="167"/>
    <x v="141"/>
    <x v="141"/>
    <n v="145946"/>
    <x v="3"/>
    <x v="0"/>
    <x v="30"/>
  </r>
  <r>
    <s v="CUST0169"/>
    <s v="Trisha Hora"/>
    <n v="46"/>
    <x v="1"/>
    <x v="7"/>
    <x v="2"/>
    <x v="168"/>
    <x v="168"/>
    <x v="142"/>
    <x v="142"/>
    <n v="102232"/>
    <x v="3"/>
    <x v="1"/>
    <x v="36"/>
  </r>
  <r>
    <s v="CUST0170"/>
    <s v="Alia Mane"/>
    <n v="60"/>
    <x v="1"/>
    <x v="5"/>
    <x v="3"/>
    <x v="169"/>
    <x v="169"/>
    <x v="143"/>
    <x v="143"/>
    <n v="145402"/>
    <x v="2"/>
    <x v="0"/>
    <x v="6"/>
  </r>
  <r>
    <s v="CUST0171"/>
    <s v="Advika Aggarwal"/>
    <n v="33"/>
    <x v="0"/>
    <x v="4"/>
    <x v="3"/>
    <x v="170"/>
    <x v="170"/>
    <x v="132"/>
    <x v="27"/>
    <n v="93139"/>
    <x v="2"/>
    <x v="1"/>
    <x v="4"/>
  </r>
  <r>
    <s v="CUST0172"/>
    <s v="Baiju Bhatnagar"/>
    <n v="53"/>
    <x v="1"/>
    <x v="5"/>
    <x v="2"/>
    <x v="171"/>
    <x v="171"/>
    <x v="144"/>
    <x v="78"/>
    <n v="228510"/>
    <x v="1"/>
    <x v="0"/>
    <x v="33"/>
  </r>
  <r>
    <s v="CUST0173"/>
    <s v="Nitya Wagle"/>
    <n v="36"/>
    <x v="0"/>
    <x v="6"/>
    <x v="3"/>
    <x v="172"/>
    <x v="172"/>
    <x v="50"/>
    <x v="71"/>
    <n v="207207"/>
    <x v="3"/>
    <x v="0"/>
    <x v="22"/>
  </r>
  <r>
    <s v="CUST0174"/>
    <s v="Aaryahi D’Alia"/>
    <n v="57"/>
    <x v="0"/>
    <x v="2"/>
    <x v="1"/>
    <x v="173"/>
    <x v="173"/>
    <x v="12"/>
    <x v="105"/>
    <n v="214220"/>
    <x v="1"/>
    <x v="1"/>
    <x v="1"/>
  </r>
  <r>
    <s v="CUST0175"/>
    <s v="Sahil Yohannan"/>
    <n v="24"/>
    <x v="1"/>
    <x v="4"/>
    <x v="2"/>
    <x v="174"/>
    <x v="174"/>
    <x v="19"/>
    <x v="144"/>
    <n v="198570"/>
    <x v="1"/>
    <x v="1"/>
    <x v="29"/>
  </r>
  <r>
    <s v="CUST0176"/>
    <s v="Indranil Biswas"/>
    <n v="36"/>
    <x v="0"/>
    <x v="3"/>
    <x v="1"/>
    <x v="175"/>
    <x v="175"/>
    <x v="144"/>
    <x v="145"/>
    <n v="189318"/>
    <x v="3"/>
    <x v="0"/>
    <x v="24"/>
  </r>
  <r>
    <s v="CUST0177"/>
    <s v="Kabir Bahl"/>
    <n v="43"/>
    <x v="1"/>
    <x v="2"/>
    <x v="3"/>
    <x v="176"/>
    <x v="176"/>
    <x v="145"/>
    <x v="146"/>
    <n v="226559"/>
    <x v="1"/>
    <x v="1"/>
    <x v="20"/>
  </r>
  <r>
    <s v="CUST0178"/>
    <s v="Yashvi Verma"/>
    <n v="59"/>
    <x v="1"/>
    <x v="1"/>
    <x v="0"/>
    <x v="177"/>
    <x v="177"/>
    <x v="146"/>
    <x v="147"/>
    <n v="162422"/>
    <x v="1"/>
    <x v="0"/>
    <x v="36"/>
  </r>
  <r>
    <s v="CUST0179"/>
    <s v="Tara Viswanathan"/>
    <n v="64"/>
    <x v="1"/>
    <x v="1"/>
    <x v="2"/>
    <x v="178"/>
    <x v="178"/>
    <x v="147"/>
    <x v="148"/>
    <n v="140301"/>
    <x v="2"/>
    <x v="1"/>
    <x v="27"/>
  </r>
  <r>
    <s v="CUST0180"/>
    <s v="Vihaan Grover"/>
    <n v="50"/>
    <x v="0"/>
    <x v="7"/>
    <x v="3"/>
    <x v="179"/>
    <x v="179"/>
    <x v="148"/>
    <x v="0"/>
    <n v="105964"/>
    <x v="2"/>
    <x v="0"/>
    <x v="22"/>
  </r>
  <r>
    <s v="CUST0181"/>
    <s v="Shray Suresh"/>
    <n v="46"/>
    <x v="1"/>
    <x v="5"/>
    <x v="2"/>
    <x v="180"/>
    <x v="180"/>
    <x v="149"/>
    <x v="44"/>
    <n v="217592"/>
    <x v="0"/>
    <x v="0"/>
    <x v="25"/>
  </r>
  <r>
    <s v="CUST0182"/>
    <s v="Vanya Raval"/>
    <n v="47"/>
    <x v="1"/>
    <x v="5"/>
    <x v="2"/>
    <x v="181"/>
    <x v="181"/>
    <x v="150"/>
    <x v="149"/>
    <n v="100427"/>
    <x v="3"/>
    <x v="0"/>
    <x v="19"/>
  </r>
  <r>
    <s v="CUST0183"/>
    <s v="Elakshi Ray"/>
    <n v="48"/>
    <x v="1"/>
    <x v="1"/>
    <x v="2"/>
    <x v="182"/>
    <x v="182"/>
    <x v="151"/>
    <x v="150"/>
    <n v="60156"/>
    <x v="0"/>
    <x v="1"/>
    <x v="32"/>
  </r>
  <r>
    <s v="CUST0184"/>
    <s v="Jayan Divan"/>
    <n v="51"/>
    <x v="0"/>
    <x v="3"/>
    <x v="2"/>
    <x v="183"/>
    <x v="183"/>
    <x v="152"/>
    <x v="151"/>
    <n v="204488"/>
    <x v="1"/>
    <x v="1"/>
    <x v="30"/>
  </r>
  <r>
    <s v="CUST0185"/>
    <s v="Neysa Datta"/>
    <n v="25"/>
    <x v="0"/>
    <x v="4"/>
    <x v="2"/>
    <x v="184"/>
    <x v="184"/>
    <x v="153"/>
    <x v="29"/>
    <n v="198335"/>
    <x v="2"/>
    <x v="1"/>
    <x v="36"/>
  </r>
  <r>
    <s v="CUST0186"/>
    <s v="Shanaya Krishna"/>
    <n v="54"/>
    <x v="1"/>
    <x v="7"/>
    <x v="2"/>
    <x v="185"/>
    <x v="185"/>
    <x v="140"/>
    <x v="44"/>
    <n v="35135"/>
    <x v="0"/>
    <x v="0"/>
    <x v="20"/>
  </r>
  <r>
    <s v="CUST0187"/>
    <s v="Tushar Yogi"/>
    <n v="45"/>
    <x v="1"/>
    <x v="7"/>
    <x v="3"/>
    <x v="186"/>
    <x v="186"/>
    <x v="154"/>
    <x v="109"/>
    <n v="110316"/>
    <x v="2"/>
    <x v="0"/>
    <x v="6"/>
  </r>
  <r>
    <s v="CUST0188"/>
    <s v="Vihaan Devan"/>
    <n v="67"/>
    <x v="1"/>
    <x v="4"/>
    <x v="1"/>
    <x v="187"/>
    <x v="187"/>
    <x v="155"/>
    <x v="76"/>
    <n v="55501"/>
    <x v="2"/>
    <x v="0"/>
    <x v="35"/>
  </r>
  <r>
    <s v="CUST0189"/>
    <s v="Kashvi Kadakia"/>
    <n v="61"/>
    <x v="1"/>
    <x v="3"/>
    <x v="2"/>
    <x v="188"/>
    <x v="188"/>
    <x v="156"/>
    <x v="152"/>
    <n v="193484"/>
    <x v="0"/>
    <x v="0"/>
    <x v="31"/>
  </r>
  <r>
    <s v="CUST0190"/>
    <s v="Vedika Rastogi"/>
    <n v="37"/>
    <x v="0"/>
    <x v="4"/>
    <x v="3"/>
    <x v="189"/>
    <x v="189"/>
    <x v="157"/>
    <x v="58"/>
    <n v="141373"/>
    <x v="3"/>
    <x v="1"/>
    <x v="30"/>
  </r>
  <r>
    <s v="CUST0191"/>
    <s v="Navya Guha"/>
    <n v="30"/>
    <x v="0"/>
    <x v="1"/>
    <x v="2"/>
    <x v="190"/>
    <x v="190"/>
    <x v="45"/>
    <x v="99"/>
    <n v="249430"/>
    <x v="0"/>
    <x v="0"/>
    <x v="28"/>
  </r>
  <r>
    <s v="CUST0192"/>
    <s v="Adira Vohra"/>
    <n v="56"/>
    <x v="1"/>
    <x v="4"/>
    <x v="2"/>
    <x v="191"/>
    <x v="191"/>
    <x v="158"/>
    <x v="153"/>
    <n v="28801"/>
    <x v="3"/>
    <x v="0"/>
    <x v="8"/>
  </r>
  <r>
    <s v="CUST0193"/>
    <s v="Biju Barad"/>
    <n v="26"/>
    <x v="1"/>
    <x v="1"/>
    <x v="3"/>
    <x v="192"/>
    <x v="192"/>
    <x v="103"/>
    <x v="154"/>
    <n v="152093"/>
    <x v="3"/>
    <x v="0"/>
    <x v="25"/>
  </r>
  <r>
    <s v="CUST0194"/>
    <s v="Myra Andra"/>
    <n v="44"/>
    <x v="1"/>
    <x v="7"/>
    <x v="3"/>
    <x v="193"/>
    <x v="193"/>
    <x v="121"/>
    <x v="155"/>
    <n v="98774"/>
    <x v="2"/>
    <x v="1"/>
    <x v="5"/>
  </r>
  <r>
    <s v="CUST0195"/>
    <s v="Vihaan Wali"/>
    <n v="62"/>
    <x v="0"/>
    <x v="1"/>
    <x v="3"/>
    <x v="194"/>
    <x v="194"/>
    <x v="159"/>
    <x v="137"/>
    <n v="129137"/>
    <x v="3"/>
    <x v="1"/>
    <x v="33"/>
  </r>
  <r>
    <s v="CUST0196"/>
    <s v="Diya Sastry"/>
    <n v="21"/>
    <x v="1"/>
    <x v="1"/>
    <x v="3"/>
    <x v="195"/>
    <x v="195"/>
    <x v="160"/>
    <x v="156"/>
    <n v="167426"/>
    <x v="0"/>
    <x v="1"/>
    <x v="21"/>
  </r>
  <r>
    <s v="CUST0197"/>
    <s v="Anya Choudhry"/>
    <n v="41"/>
    <x v="0"/>
    <x v="2"/>
    <x v="2"/>
    <x v="196"/>
    <x v="196"/>
    <x v="60"/>
    <x v="157"/>
    <n v="44238"/>
    <x v="3"/>
    <x v="1"/>
    <x v="16"/>
  </r>
  <r>
    <s v="CUST0198"/>
    <s v="Inaaya  Atwal"/>
    <n v="31"/>
    <x v="0"/>
    <x v="4"/>
    <x v="2"/>
    <x v="197"/>
    <x v="197"/>
    <x v="161"/>
    <x v="7"/>
    <n v="247927"/>
    <x v="3"/>
    <x v="1"/>
    <x v="37"/>
  </r>
  <r>
    <s v="CUST0199"/>
    <s v="Samiha Gour"/>
    <n v="33"/>
    <x v="1"/>
    <x v="6"/>
    <x v="3"/>
    <x v="198"/>
    <x v="198"/>
    <x v="162"/>
    <x v="158"/>
    <n v="164724"/>
    <x v="2"/>
    <x v="1"/>
    <x v="1"/>
  </r>
  <r>
    <s v="CUST0200"/>
    <s v="Eva Deep"/>
    <n v="24"/>
    <x v="1"/>
    <x v="0"/>
    <x v="0"/>
    <x v="199"/>
    <x v="199"/>
    <x v="163"/>
    <x v="83"/>
    <n v="230453"/>
    <x v="3"/>
    <x v="0"/>
    <x v="11"/>
  </r>
  <r>
    <s v="CUST0201"/>
    <s v="Badal Sehgal"/>
    <n v="19"/>
    <x v="1"/>
    <x v="1"/>
    <x v="1"/>
    <x v="200"/>
    <x v="200"/>
    <x v="164"/>
    <x v="159"/>
    <n v="88360"/>
    <x v="3"/>
    <x v="1"/>
    <x v="29"/>
  </r>
  <r>
    <s v="CUST0202"/>
    <s v="Rania Singhal"/>
    <n v="53"/>
    <x v="1"/>
    <x v="4"/>
    <x v="2"/>
    <x v="201"/>
    <x v="201"/>
    <x v="165"/>
    <x v="160"/>
    <n v="191601"/>
    <x v="1"/>
    <x v="0"/>
    <x v="0"/>
  </r>
  <r>
    <s v="CUST0203"/>
    <s v="Kashvi Dixit"/>
    <n v="26"/>
    <x v="0"/>
    <x v="2"/>
    <x v="0"/>
    <x v="202"/>
    <x v="202"/>
    <x v="166"/>
    <x v="87"/>
    <n v="208825"/>
    <x v="0"/>
    <x v="1"/>
    <x v="34"/>
  </r>
  <r>
    <s v="CUST0204"/>
    <s v="Azad Bahl"/>
    <n v="26"/>
    <x v="1"/>
    <x v="5"/>
    <x v="0"/>
    <x v="203"/>
    <x v="203"/>
    <x v="167"/>
    <x v="25"/>
    <n v="240868"/>
    <x v="2"/>
    <x v="1"/>
    <x v="2"/>
  </r>
  <r>
    <s v="CUST0205"/>
    <s v="Shamik Kari"/>
    <n v="19"/>
    <x v="1"/>
    <x v="7"/>
    <x v="1"/>
    <x v="204"/>
    <x v="204"/>
    <x v="168"/>
    <x v="161"/>
    <n v="21733"/>
    <x v="3"/>
    <x v="0"/>
    <x v="0"/>
  </r>
  <r>
    <s v="CUST0206"/>
    <s v="Mishti Sarna"/>
    <n v="24"/>
    <x v="1"/>
    <x v="0"/>
    <x v="0"/>
    <x v="205"/>
    <x v="205"/>
    <x v="110"/>
    <x v="46"/>
    <n v="157464"/>
    <x v="1"/>
    <x v="1"/>
    <x v="30"/>
  </r>
  <r>
    <s v="CUST0207"/>
    <s v="Vaibhav Srivastava"/>
    <n v="47"/>
    <x v="0"/>
    <x v="7"/>
    <x v="0"/>
    <x v="206"/>
    <x v="206"/>
    <x v="35"/>
    <x v="162"/>
    <n v="168111"/>
    <x v="2"/>
    <x v="1"/>
    <x v="30"/>
  </r>
  <r>
    <s v="CUST0208"/>
    <s v="Tara Cheema"/>
    <n v="42"/>
    <x v="1"/>
    <x v="5"/>
    <x v="0"/>
    <x v="207"/>
    <x v="207"/>
    <x v="169"/>
    <x v="163"/>
    <n v="164887"/>
    <x v="0"/>
    <x v="0"/>
    <x v="36"/>
  </r>
  <r>
    <s v="CUST0209"/>
    <s v="Rohan Chad"/>
    <n v="31"/>
    <x v="1"/>
    <x v="7"/>
    <x v="2"/>
    <x v="208"/>
    <x v="208"/>
    <x v="170"/>
    <x v="164"/>
    <n v="247571"/>
    <x v="1"/>
    <x v="0"/>
    <x v="37"/>
  </r>
  <r>
    <s v="CUST0210"/>
    <s v="Veer Chana"/>
    <n v="31"/>
    <x v="0"/>
    <x v="1"/>
    <x v="1"/>
    <x v="209"/>
    <x v="209"/>
    <x v="171"/>
    <x v="144"/>
    <n v="173887"/>
    <x v="1"/>
    <x v="1"/>
    <x v="10"/>
  </r>
  <r>
    <s v="CUST0211"/>
    <s v="Kimaya Sagar"/>
    <n v="66"/>
    <x v="1"/>
    <x v="7"/>
    <x v="0"/>
    <x v="210"/>
    <x v="210"/>
    <x v="172"/>
    <x v="11"/>
    <n v="213919"/>
    <x v="2"/>
    <x v="0"/>
    <x v="8"/>
  </r>
  <r>
    <s v="CUST0212"/>
    <s v="Shanaya Hayre"/>
    <n v="22"/>
    <x v="1"/>
    <x v="4"/>
    <x v="1"/>
    <x v="211"/>
    <x v="211"/>
    <x v="51"/>
    <x v="165"/>
    <n v="109284"/>
    <x v="3"/>
    <x v="1"/>
    <x v="27"/>
  </r>
  <r>
    <s v="CUST0213"/>
    <s v="Yuvaan Tailor"/>
    <n v="53"/>
    <x v="1"/>
    <x v="1"/>
    <x v="0"/>
    <x v="212"/>
    <x v="212"/>
    <x v="141"/>
    <x v="166"/>
    <n v="118415"/>
    <x v="0"/>
    <x v="1"/>
    <x v="28"/>
  </r>
  <r>
    <s v="CUST0214"/>
    <s v="Yakshit Hayer"/>
    <n v="27"/>
    <x v="0"/>
    <x v="7"/>
    <x v="3"/>
    <x v="213"/>
    <x v="213"/>
    <x v="173"/>
    <x v="167"/>
    <n v="119614"/>
    <x v="2"/>
    <x v="1"/>
    <x v="18"/>
  </r>
  <r>
    <s v="CUST0215"/>
    <s v="Kimaya Kapoor"/>
    <n v="66"/>
    <x v="1"/>
    <x v="2"/>
    <x v="0"/>
    <x v="214"/>
    <x v="214"/>
    <x v="174"/>
    <x v="112"/>
    <n v="90717"/>
    <x v="0"/>
    <x v="1"/>
    <x v="33"/>
  </r>
  <r>
    <s v="CUST0216"/>
    <s v="Hazel Walia"/>
    <n v="53"/>
    <x v="1"/>
    <x v="2"/>
    <x v="2"/>
    <x v="215"/>
    <x v="215"/>
    <x v="175"/>
    <x v="168"/>
    <n v="44396"/>
    <x v="3"/>
    <x v="1"/>
    <x v="4"/>
  </r>
  <r>
    <s v="CUST0217"/>
    <s v="Dishani Tata"/>
    <n v="28"/>
    <x v="1"/>
    <x v="0"/>
    <x v="3"/>
    <x v="216"/>
    <x v="216"/>
    <x v="176"/>
    <x v="169"/>
    <n v="56396"/>
    <x v="2"/>
    <x v="0"/>
    <x v="31"/>
  </r>
  <r>
    <s v="CUST0218"/>
    <s v="Tiya Guha"/>
    <n v="41"/>
    <x v="1"/>
    <x v="2"/>
    <x v="2"/>
    <x v="217"/>
    <x v="217"/>
    <x v="177"/>
    <x v="22"/>
    <n v="85981"/>
    <x v="1"/>
    <x v="0"/>
    <x v="26"/>
  </r>
  <r>
    <s v="CUST0219"/>
    <s v="Jiya Gopal"/>
    <n v="43"/>
    <x v="0"/>
    <x v="6"/>
    <x v="3"/>
    <x v="218"/>
    <x v="218"/>
    <x v="178"/>
    <x v="170"/>
    <n v="107088"/>
    <x v="3"/>
    <x v="1"/>
    <x v="27"/>
  </r>
  <r>
    <s v="CUST0220"/>
    <s v="Jayant Bora"/>
    <n v="38"/>
    <x v="1"/>
    <x v="1"/>
    <x v="3"/>
    <x v="219"/>
    <x v="219"/>
    <x v="63"/>
    <x v="171"/>
    <n v="66566"/>
    <x v="2"/>
    <x v="1"/>
    <x v="32"/>
  </r>
  <r>
    <s v="CUST0221"/>
    <s v="Shlok Vasa"/>
    <n v="70"/>
    <x v="0"/>
    <x v="7"/>
    <x v="1"/>
    <x v="220"/>
    <x v="220"/>
    <x v="179"/>
    <x v="172"/>
    <n v="226010"/>
    <x v="3"/>
    <x v="1"/>
    <x v="12"/>
  </r>
  <r>
    <s v="CUST0222"/>
    <s v="Anahi Handa"/>
    <n v="69"/>
    <x v="1"/>
    <x v="1"/>
    <x v="3"/>
    <x v="221"/>
    <x v="221"/>
    <x v="180"/>
    <x v="37"/>
    <n v="96370"/>
    <x v="3"/>
    <x v="1"/>
    <x v="36"/>
  </r>
  <r>
    <s v="CUST0223"/>
    <s v="Rasha Lala"/>
    <n v="68"/>
    <x v="1"/>
    <x v="7"/>
    <x v="3"/>
    <x v="222"/>
    <x v="222"/>
    <x v="181"/>
    <x v="135"/>
    <n v="118825"/>
    <x v="0"/>
    <x v="0"/>
    <x v="21"/>
  </r>
  <r>
    <s v="CUST0224"/>
    <s v="Vihaan Mane"/>
    <n v="67"/>
    <x v="1"/>
    <x v="5"/>
    <x v="1"/>
    <x v="223"/>
    <x v="223"/>
    <x v="182"/>
    <x v="173"/>
    <n v="85072"/>
    <x v="0"/>
    <x v="0"/>
    <x v="38"/>
  </r>
  <r>
    <s v="CUST0225"/>
    <s v="Madhav Bhardwaj"/>
    <n v="24"/>
    <x v="0"/>
    <x v="4"/>
    <x v="3"/>
    <x v="224"/>
    <x v="224"/>
    <x v="183"/>
    <x v="174"/>
    <n v="87826"/>
    <x v="2"/>
    <x v="1"/>
    <x v="32"/>
  </r>
  <r>
    <s v="CUST0226"/>
    <s v="Vaibhav Chandran"/>
    <n v="67"/>
    <x v="1"/>
    <x v="0"/>
    <x v="0"/>
    <x v="225"/>
    <x v="225"/>
    <x v="184"/>
    <x v="175"/>
    <n v="198141"/>
    <x v="0"/>
    <x v="0"/>
    <x v="22"/>
  </r>
  <r>
    <s v="CUST0227"/>
    <s v="Prerak Chhabra"/>
    <n v="40"/>
    <x v="0"/>
    <x v="4"/>
    <x v="1"/>
    <x v="226"/>
    <x v="226"/>
    <x v="92"/>
    <x v="176"/>
    <n v="101760"/>
    <x v="1"/>
    <x v="0"/>
    <x v="18"/>
  </r>
  <r>
    <s v="CUST0228"/>
    <s v="Nehmat D’Alia"/>
    <n v="37"/>
    <x v="0"/>
    <x v="1"/>
    <x v="2"/>
    <x v="227"/>
    <x v="227"/>
    <x v="185"/>
    <x v="177"/>
    <n v="31713"/>
    <x v="3"/>
    <x v="1"/>
    <x v="23"/>
  </r>
  <r>
    <s v="CUST0229"/>
    <s v="Pihu Sami"/>
    <n v="53"/>
    <x v="1"/>
    <x v="0"/>
    <x v="0"/>
    <x v="228"/>
    <x v="228"/>
    <x v="46"/>
    <x v="178"/>
    <n v="131770"/>
    <x v="3"/>
    <x v="1"/>
    <x v="31"/>
  </r>
  <r>
    <s v="CUST0230"/>
    <s v="Bhamini Raman"/>
    <n v="55"/>
    <x v="0"/>
    <x v="2"/>
    <x v="2"/>
    <x v="229"/>
    <x v="229"/>
    <x v="186"/>
    <x v="179"/>
    <n v="132604"/>
    <x v="1"/>
    <x v="1"/>
    <x v="8"/>
  </r>
  <r>
    <s v="CUST0231"/>
    <s v="Hridaan Savant"/>
    <n v="30"/>
    <x v="1"/>
    <x v="0"/>
    <x v="1"/>
    <x v="230"/>
    <x v="230"/>
    <x v="187"/>
    <x v="180"/>
    <n v="139944"/>
    <x v="0"/>
    <x v="1"/>
    <x v="38"/>
  </r>
  <r>
    <s v="CUST0232"/>
    <s v="Ela Walia"/>
    <n v="40"/>
    <x v="0"/>
    <x v="3"/>
    <x v="3"/>
    <x v="231"/>
    <x v="231"/>
    <x v="132"/>
    <x v="12"/>
    <n v="241647"/>
    <x v="0"/>
    <x v="0"/>
    <x v="26"/>
  </r>
  <r>
    <s v="CUST0233"/>
    <s v="Darshit Trivedi"/>
    <n v="37"/>
    <x v="0"/>
    <x v="0"/>
    <x v="1"/>
    <x v="232"/>
    <x v="232"/>
    <x v="188"/>
    <x v="181"/>
    <n v="50657"/>
    <x v="3"/>
    <x v="1"/>
    <x v="14"/>
  </r>
  <r>
    <s v="CUST0234"/>
    <s v="Kimaya Apte"/>
    <n v="58"/>
    <x v="1"/>
    <x v="3"/>
    <x v="2"/>
    <x v="233"/>
    <x v="233"/>
    <x v="143"/>
    <x v="182"/>
    <n v="160870"/>
    <x v="1"/>
    <x v="1"/>
    <x v="31"/>
  </r>
  <r>
    <s v="CUST0235"/>
    <s v="Bhamini Wali"/>
    <n v="57"/>
    <x v="1"/>
    <x v="4"/>
    <x v="1"/>
    <x v="234"/>
    <x v="234"/>
    <x v="189"/>
    <x v="183"/>
    <n v="34053"/>
    <x v="2"/>
    <x v="1"/>
    <x v="11"/>
  </r>
  <r>
    <s v="CUST0236"/>
    <s v="Taimur Bhakta"/>
    <n v="63"/>
    <x v="0"/>
    <x v="6"/>
    <x v="0"/>
    <x v="235"/>
    <x v="235"/>
    <x v="190"/>
    <x v="184"/>
    <n v="240172"/>
    <x v="1"/>
    <x v="0"/>
    <x v="39"/>
  </r>
  <r>
    <s v="CUST0237"/>
    <s v="Pari Varghese"/>
    <n v="52"/>
    <x v="0"/>
    <x v="6"/>
    <x v="3"/>
    <x v="236"/>
    <x v="236"/>
    <x v="177"/>
    <x v="185"/>
    <n v="95673"/>
    <x v="0"/>
    <x v="1"/>
    <x v="36"/>
  </r>
  <r>
    <s v="CUST0238"/>
    <s v="Damini Uppal"/>
    <n v="52"/>
    <x v="0"/>
    <x v="4"/>
    <x v="3"/>
    <x v="237"/>
    <x v="237"/>
    <x v="134"/>
    <x v="186"/>
    <n v="77289"/>
    <x v="1"/>
    <x v="0"/>
    <x v="7"/>
  </r>
  <r>
    <s v="CUST0239"/>
    <s v="Arhaan Badami"/>
    <n v="46"/>
    <x v="1"/>
    <x v="0"/>
    <x v="2"/>
    <x v="238"/>
    <x v="238"/>
    <x v="191"/>
    <x v="5"/>
    <n v="246830"/>
    <x v="3"/>
    <x v="0"/>
    <x v="39"/>
  </r>
  <r>
    <s v="CUST0240"/>
    <s v="Nirvi Sundaram"/>
    <n v="70"/>
    <x v="0"/>
    <x v="5"/>
    <x v="3"/>
    <x v="239"/>
    <x v="239"/>
    <x v="102"/>
    <x v="187"/>
    <n v="74248"/>
    <x v="1"/>
    <x v="1"/>
    <x v="12"/>
  </r>
  <r>
    <s v="CUST0241"/>
    <s v="Zeeshan Bora"/>
    <n v="50"/>
    <x v="1"/>
    <x v="3"/>
    <x v="2"/>
    <x v="240"/>
    <x v="240"/>
    <x v="192"/>
    <x v="12"/>
    <n v="198074"/>
    <x v="3"/>
    <x v="0"/>
    <x v="15"/>
  </r>
  <r>
    <s v="CUST0242"/>
    <s v="Vritika Raja"/>
    <n v="63"/>
    <x v="1"/>
    <x v="0"/>
    <x v="1"/>
    <x v="241"/>
    <x v="241"/>
    <x v="193"/>
    <x v="188"/>
    <n v="104435"/>
    <x v="2"/>
    <x v="0"/>
    <x v="29"/>
  </r>
  <r>
    <s v="CUST0243"/>
    <s v="Keya Bhatia"/>
    <n v="58"/>
    <x v="1"/>
    <x v="4"/>
    <x v="1"/>
    <x v="242"/>
    <x v="242"/>
    <x v="194"/>
    <x v="189"/>
    <n v="228299"/>
    <x v="1"/>
    <x v="0"/>
    <x v="17"/>
  </r>
  <r>
    <s v="CUST0244"/>
    <s v="Pari Talwar"/>
    <n v="67"/>
    <x v="1"/>
    <x v="2"/>
    <x v="1"/>
    <x v="243"/>
    <x v="243"/>
    <x v="195"/>
    <x v="190"/>
    <n v="242079"/>
    <x v="3"/>
    <x v="1"/>
    <x v="5"/>
  </r>
  <r>
    <s v="CUST0245"/>
    <s v="Dhanuk Dani"/>
    <n v="70"/>
    <x v="0"/>
    <x v="4"/>
    <x v="3"/>
    <x v="244"/>
    <x v="244"/>
    <x v="101"/>
    <x v="191"/>
    <n v="75535"/>
    <x v="0"/>
    <x v="0"/>
    <x v="33"/>
  </r>
  <r>
    <s v="CUST0246"/>
    <s v="Eva Bora"/>
    <n v="24"/>
    <x v="1"/>
    <x v="4"/>
    <x v="0"/>
    <x v="245"/>
    <x v="245"/>
    <x v="196"/>
    <x v="144"/>
    <n v="184149"/>
    <x v="2"/>
    <x v="0"/>
    <x v="40"/>
  </r>
  <r>
    <s v="CUST0247"/>
    <s v="Samar Tripathi"/>
    <n v="62"/>
    <x v="1"/>
    <x v="2"/>
    <x v="3"/>
    <x v="246"/>
    <x v="246"/>
    <x v="197"/>
    <x v="104"/>
    <n v="54580"/>
    <x v="3"/>
    <x v="0"/>
    <x v="1"/>
  </r>
  <r>
    <s v="CUST0248"/>
    <s v="Devansh Loyal"/>
    <n v="43"/>
    <x v="0"/>
    <x v="7"/>
    <x v="2"/>
    <x v="247"/>
    <x v="247"/>
    <x v="198"/>
    <x v="8"/>
    <n v="183998"/>
    <x v="2"/>
    <x v="0"/>
    <x v="1"/>
  </r>
  <r>
    <s v="CUST0249"/>
    <s v="Vihaan Mannan"/>
    <n v="26"/>
    <x v="0"/>
    <x v="0"/>
    <x v="2"/>
    <x v="248"/>
    <x v="248"/>
    <x v="199"/>
    <x v="25"/>
    <n v="175629"/>
    <x v="2"/>
    <x v="0"/>
    <x v="32"/>
  </r>
  <r>
    <s v="CUST0250"/>
    <s v="Elakshi Bahri"/>
    <n v="32"/>
    <x v="1"/>
    <x v="3"/>
    <x v="1"/>
    <x v="249"/>
    <x v="249"/>
    <x v="200"/>
    <x v="91"/>
    <n v="120419"/>
    <x v="3"/>
    <x v="0"/>
    <x v="16"/>
  </r>
  <r>
    <s v="CUST0251"/>
    <s v="Madhav Mander"/>
    <n v="22"/>
    <x v="0"/>
    <x v="3"/>
    <x v="1"/>
    <x v="250"/>
    <x v="250"/>
    <x v="201"/>
    <x v="170"/>
    <n v="159069"/>
    <x v="2"/>
    <x v="0"/>
    <x v="18"/>
  </r>
  <r>
    <s v="CUST0252"/>
    <s v="Shlok Yadav"/>
    <n v="23"/>
    <x v="1"/>
    <x v="3"/>
    <x v="2"/>
    <x v="251"/>
    <x v="251"/>
    <x v="81"/>
    <x v="93"/>
    <n v="46336"/>
    <x v="1"/>
    <x v="0"/>
    <x v="38"/>
  </r>
  <r>
    <s v="CUST0253"/>
    <s v="Kismat Soni"/>
    <n v="33"/>
    <x v="0"/>
    <x v="6"/>
    <x v="2"/>
    <x v="252"/>
    <x v="252"/>
    <x v="113"/>
    <x v="39"/>
    <n v="165069"/>
    <x v="3"/>
    <x v="1"/>
    <x v="34"/>
  </r>
  <r>
    <s v="CUST0254"/>
    <s v="Aayush Arora"/>
    <n v="36"/>
    <x v="0"/>
    <x v="4"/>
    <x v="0"/>
    <x v="253"/>
    <x v="253"/>
    <x v="202"/>
    <x v="192"/>
    <n v="189389"/>
    <x v="0"/>
    <x v="1"/>
    <x v="16"/>
  </r>
  <r>
    <s v="CUST0255"/>
    <s v="Hrishita Borra"/>
    <n v="38"/>
    <x v="0"/>
    <x v="4"/>
    <x v="0"/>
    <x v="254"/>
    <x v="254"/>
    <x v="155"/>
    <x v="193"/>
    <n v="54598"/>
    <x v="0"/>
    <x v="0"/>
    <x v="33"/>
  </r>
  <r>
    <s v="CUST0256"/>
    <s v="Manikya Gade"/>
    <n v="18"/>
    <x v="1"/>
    <x v="0"/>
    <x v="1"/>
    <x v="255"/>
    <x v="255"/>
    <x v="171"/>
    <x v="24"/>
    <n v="88730"/>
    <x v="0"/>
    <x v="0"/>
    <x v="17"/>
  </r>
  <r>
    <s v="CUST0257"/>
    <s v="Ehsaan Chaudhuri"/>
    <n v="35"/>
    <x v="1"/>
    <x v="0"/>
    <x v="0"/>
    <x v="256"/>
    <x v="256"/>
    <x v="142"/>
    <x v="194"/>
    <n v="41914"/>
    <x v="1"/>
    <x v="1"/>
    <x v="29"/>
  </r>
  <r>
    <s v="CUST0258"/>
    <s v="Anay Varughese"/>
    <n v="64"/>
    <x v="0"/>
    <x v="6"/>
    <x v="2"/>
    <x v="257"/>
    <x v="257"/>
    <x v="203"/>
    <x v="84"/>
    <n v="241896"/>
    <x v="0"/>
    <x v="0"/>
    <x v="3"/>
  </r>
  <r>
    <s v="CUST0259"/>
    <s v="Indrans Chada"/>
    <n v="63"/>
    <x v="1"/>
    <x v="3"/>
    <x v="3"/>
    <x v="258"/>
    <x v="258"/>
    <x v="204"/>
    <x v="195"/>
    <n v="55969"/>
    <x v="3"/>
    <x v="1"/>
    <x v="24"/>
  </r>
  <r>
    <s v="CUST0260"/>
    <s v="Anvi Issac"/>
    <n v="64"/>
    <x v="1"/>
    <x v="2"/>
    <x v="1"/>
    <x v="259"/>
    <x v="259"/>
    <x v="205"/>
    <x v="196"/>
    <n v="50947"/>
    <x v="2"/>
    <x v="1"/>
    <x v="24"/>
  </r>
  <r>
    <s v="CUST0261"/>
    <s v="Anahi Bera"/>
    <n v="21"/>
    <x v="0"/>
    <x v="1"/>
    <x v="0"/>
    <x v="260"/>
    <x v="260"/>
    <x v="206"/>
    <x v="197"/>
    <n v="150969"/>
    <x v="0"/>
    <x v="0"/>
    <x v="28"/>
  </r>
  <r>
    <s v="CUST0262"/>
    <s v="Akarsh Dugar"/>
    <n v="33"/>
    <x v="0"/>
    <x v="0"/>
    <x v="2"/>
    <x v="261"/>
    <x v="261"/>
    <x v="207"/>
    <x v="198"/>
    <n v="32053"/>
    <x v="1"/>
    <x v="0"/>
    <x v="37"/>
  </r>
  <r>
    <s v="CUST0263"/>
    <s v="Zoya Balan"/>
    <n v="44"/>
    <x v="0"/>
    <x v="3"/>
    <x v="2"/>
    <x v="262"/>
    <x v="262"/>
    <x v="208"/>
    <x v="199"/>
    <n v="208819"/>
    <x v="0"/>
    <x v="1"/>
    <x v="19"/>
  </r>
  <r>
    <s v="CUST0264"/>
    <s v="Lakshit Sampath"/>
    <n v="22"/>
    <x v="1"/>
    <x v="7"/>
    <x v="3"/>
    <x v="263"/>
    <x v="263"/>
    <x v="150"/>
    <x v="200"/>
    <n v="249897"/>
    <x v="3"/>
    <x v="1"/>
    <x v="10"/>
  </r>
  <r>
    <s v="CUST0265"/>
    <s v="Aayush Sant"/>
    <n v="54"/>
    <x v="1"/>
    <x v="1"/>
    <x v="2"/>
    <x v="264"/>
    <x v="264"/>
    <x v="209"/>
    <x v="82"/>
    <n v="225653"/>
    <x v="3"/>
    <x v="0"/>
    <x v="12"/>
  </r>
  <r>
    <s v="CUST0266"/>
    <s v="Neelofar Kothari"/>
    <n v="44"/>
    <x v="1"/>
    <x v="6"/>
    <x v="0"/>
    <x v="265"/>
    <x v="265"/>
    <x v="199"/>
    <x v="47"/>
    <n v="26267"/>
    <x v="3"/>
    <x v="0"/>
    <x v="27"/>
  </r>
  <r>
    <s v="CUST0267"/>
    <s v="Kaira Bala"/>
    <n v="44"/>
    <x v="0"/>
    <x v="1"/>
    <x v="1"/>
    <x v="266"/>
    <x v="266"/>
    <x v="210"/>
    <x v="201"/>
    <n v="148982"/>
    <x v="1"/>
    <x v="1"/>
    <x v="17"/>
  </r>
  <r>
    <s v="CUST0268"/>
    <s v="Zeeshan Sahni"/>
    <n v="65"/>
    <x v="0"/>
    <x v="0"/>
    <x v="2"/>
    <x v="267"/>
    <x v="267"/>
    <x v="211"/>
    <x v="202"/>
    <n v="42256"/>
    <x v="3"/>
    <x v="1"/>
    <x v="12"/>
  </r>
  <r>
    <s v="CUST0269"/>
    <s v="Khushi Seshadri"/>
    <n v="34"/>
    <x v="0"/>
    <x v="2"/>
    <x v="2"/>
    <x v="268"/>
    <x v="268"/>
    <x v="212"/>
    <x v="167"/>
    <n v="243061"/>
    <x v="3"/>
    <x v="0"/>
    <x v="3"/>
  </r>
  <r>
    <s v="CUST0270"/>
    <s v="Shalv Zachariah"/>
    <n v="27"/>
    <x v="0"/>
    <x v="4"/>
    <x v="3"/>
    <x v="269"/>
    <x v="269"/>
    <x v="213"/>
    <x v="203"/>
    <n v="47697"/>
    <x v="2"/>
    <x v="1"/>
    <x v="24"/>
  </r>
  <r>
    <s v="CUST0271"/>
    <s v="Veer Ravel"/>
    <n v="25"/>
    <x v="1"/>
    <x v="3"/>
    <x v="0"/>
    <x v="270"/>
    <x v="270"/>
    <x v="214"/>
    <x v="204"/>
    <n v="43703"/>
    <x v="3"/>
    <x v="1"/>
    <x v="30"/>
  </r>
  <r>
    <s v="CUST0272"/>
    <s v="Devansh Cherian"/>
    <n v="43"/>
    <x v="1"/>
    <x v="1"/>
    <x v="0"/>
    <x v="271"/>
    <x v="271"/>
    <x v="36"/>
    <x v="184"/>
    <n v="154600"/>
    <x v="2"/>
    <x v="0"/>
    <x v="34"/>
  </r>
  <r>
    <s v="CUST0273"/>
    <s v="Samarth Basu"/>
    <n v="69"/>
    <x v="1"/>
    <x v="5"/>
    <x v="0"/>
    <x v="272"/>
    <x v="272"/>
    <x v="115"/>
    <x v="103"/>
    <n v="228092"/>
    <x v="1"/>
    <x v="0"/>
    <x v="11"/>
  </r>
  <r>
    <s v="CUST0274"/>
    <s v="Umang Acharya"/>
    <n v="19"/>
    <x v="1"/>
    <x v="2"/>
    <x v="0"/>
    <x v="273"/>
    <x v="273"/>
    <x v="215"/>
    <x v="104"/>
    <n v="36900"/>
    <x v="2"/>
    <x v="0"/>
    <x v="6"/>
  </r>
  <r>
    <s v="CUST0275"/>
    <s v="Renee Shan"/>
    <n v="28"/>
    <x v="1"/>
    <x v="3"/>
    <x v="3"/>
    <x v="274"/>
    <x v="274"/>
    <x v="216"/>
    <x v="184"/>
    <n v="170440"/>
    <x v="3"/>
    <x v="0"/>
    <x v="16"/>
  </r>
  <r>
    <s v="CUST0276"/>
    <s v="Alisha Chandra"/>
    <n v="35"/>
    <x v="1"/>
    <x v="4"/>
    <x v="0"/>
    <x v="275"/>
    <x v="275"/>
    <x v="217"/>
    <x v="177"/>
    <n v="93362"/>
    <x v="0"/>
    <x v="1"/>
    <x v="4"/>
  </r>
  <r>
    <s v="CUST0277"/>
    <s v="Jivin Batta"/>
    <n v="42"/>
    <x v="0"/>
    <x v="0"/>
    <x v="3"/>
    <x v="276"/>
    <x v="276"/>
    <x v="218"/>
    <x v="18"/>
    <n v="55975"/>
    <x v="2"/>
    <x v="1"/>
    <x v="26"/>
  </r>
  <r>
    <s v="CUST0278"/>
    <s v="Yashvi Dash"/>
    <n v="40"/>
    <x v="0"/>
    <x v="7"/>
    <x v="3"/>
    <x v="277"/>
    <x v="277"/>
    <x v="219"/>
    <x v="205"/>
    <n v="168282"/>
    <x v="0"/>
    <x v="1"/>
    <x v="27"/>
  </r>
  <r>
    <s v="CUST0279"/>
    <s v="Renee Brar"/>
    <n v="51"/>
    <x v="0"/>
    <x v="6"/>
    <x v="0"/>
    <x v="278"/>
    <x v="278"/>
    <x v="9"/>
    <x v="55"/>
    <n v="113698"/>
    <x v="3"/>
    <x v="1"/>
    <x v="13"/>
  </r>
  <r>
    <s v="CUST0280"/>
    <s v="Shlok Apte"/>
    <n v="40"/>
    <x v="1"/>
    <x v="7"/>
    <x v="3"/>
    <x v="279"/>
    <x v="279"/>
    <x v="191"/>
    <x v="206"/>
    <n v="239997"/>
    <x v="3"/>
    <x v="0"/>
    <x v="27"/>
  </r>
  <r>
    <s v="CUST0281"/>
    <s v="Trisha Mall"/>
    <n v="69"/>
    <x v="0"/>
    <x v="7"/>
    <x v="1"/>
    <x v="280"/>
    <x v="280"/>
    <x v="220"/>
    <x v="65"/>
    <n v="149034"/>
    <x v="0"/>
    <x v="1"/>
    <x v="15"/>
  </r>
  <r>
    <s v="CUST0282"/>
    <s v="Zoya Kala"/>
    <n v="57"/>
    <x v="1"/>
    <x v="7"/>
    <x v="0"/>
    <x v="281"/>
    <x v="281"/>
    <x v="30"/>
    <x v="12"/>
    <n v="72812"/>
    <x v="3"/>
    <x v="0"/>
    <x v="39"/>
  </r>
  <r>
    <s v="CUST0283"/>
    <s v="Vihaan Wable"/>
    <n v="67"/>
    <x v="1"/>
    <x v="2"/>
    <x v="3"/>
    <x v="282"/>
    <x v="282"/>
    <x v="221"/>
    <x v="76"/>
    <n v="49077"/>
    <x v="1"/>
    <x v="1"/>
    <x v="32"/>
  </r>
  <r>
    <s v="CUST0284"/>
    <s v="Jivin Boase"/>
    <n v="26"/>
    <x v="1"/>
    <x v="1"/>
    <x v="2"/>
    <x v="283"/>
    <x v="283"/>
    <x v="21"/>
    <x v="207"/>
    <n v="61288"/>
    <x v="2"/>
    <x v="1"/>
    <x v="27"/>
  </r>
  <r>
    <s v="CUST0285"/>
    <s v="Anahi Banik"/>
    <n v="64"/>
    <x v="1"/>
    <x v="7"/>
    <x v="2"/>
    <x v="284"/>
    <x v="284"/>
    <x v="222"/>
    <x v="208"/>
    <n v="200485"/>
    <x v="1"/>
    <x v="0"/>
    <x v="32"/>
  </r>
  <r>
    <s v="CUST0286"/>
    <s v="Reyansh Doshi"/>
    <n v="58"/>
    <x v="1"/>
    <x v="5"/>
    <x v="2"/>
    <x v="285"/>
    <x v="285"/>
    <x v="223"/>
    <x v="209"/>
    <n v="168255"/>
    <x v="0"/>
    <x v="1"/>
    <x v="10"/>
  </r>
  <r>
    <s v="CUST0287"/>
    <s v="Piya Shere"/>
    <n v="46"/>
    <x v="0"/>
    <x v="7"/>
    <x v="0"/>
    <x v="286"/>
    <x v="286"/>
    <x v="224"/>
    <x v="93"/>
    <n v="22987"/>
    <x v="2"/>
    <x v="1"/>
    <x v="13"/>
  </r>
  <r>
    <s v="CUST0288"/>
    <s v="Mehul Suri"/>
    <n v="64"/>
    <x v="1"/>
    <x v="2"/>
    <x v="1"/>
    <x v="287"/>
    <x v="287"/>
    <x v="87"/>
    <x v="30"/>
    <n v="130009"/>
    <x v="3"/>
    <x v="0"/>
    <x v="16"/>
  </r>
  <r>
    <s v="CUST0289"/>
    <s v="Samiha Varkey"/>
    <n v="46"/>
    <x v="0"/>
    <x v="2"/>
    <x v="3"/>
    <x v="288"/>
    <x v="288"/>
    <x v="225"/>
    <x v="154"/>
    <n v="39322"/>
    <x v="3"/>
    <x v="1"/>
    <x v="13"/>
  </r>
  <r>
    <s v="CUST0290"/>
    <s v="Arnav Baral"/>
    <n v="28"/>
    <x v="1"/>
    <x v="7"/>
    <x v="1"/>
    <x v="289"/>
    <x v="289"/>
    <x v="226"/>
    <x v="210"/>
    <n v="211885"/>
    <x v="3"/>
    <x v="1"/>
    <x v="12"/>
  </r>
  <r>
    <s v="CUST0291"/>
    <s v="Yasmin Desai"/>
    <n v="28"/>
    <x v="1"/>
    <x v="6"/>
    <x v="3"/>
    <x v="290"/>
    <x v="290"/>
    <x v="135"/>
    <x v="211"/>
    <n v="34039"/>
    <x v="3"/>
    <x v="0"/>
    <x v="32"/>
  </r>
  <r>
    <s v="CUST0292"/>
    <s v="Tanya Garg"/>
    <n v="21"/>
    <x v="1"/>
    <x v="2"/>
    <x v="3"/>
    <x v="291"/>
    <x v="291"/>
    <x v="227"/>
    <x v="212"/>
    <n v="122996"/>
    <x v="2"/>
    <x v="0"/>
    <x v="18"/>
  </r>
  <r>
    <s v="CUST0293"/>
    <s v="Anya Ravel"/>
    <n v="24"/>
    <x v="1"/>
    <x v="0"/>
    <x v="1"/>
    <x v="292"/>
    <x v="292"/>
    <x v="228"/>
    <x v="53"/>
    <n v="26746"/>
    <x v="2"/>
    <x v="1"/>
    <x v="40"/>
  </r>
  <r>
    <s v="CUST0294"/>
    <s v="Navya Loyal"/>
    <n v="23"/>
    <x v="0"/>
    <x v="6"/>
    <x v="1"/>
    <x v="293"/>
    <x v="293"/>
    <x v="74"/>
    <x v="213"/>
    <n v="188261"/>
    <x v="2"/>
    <x v="1"/>
    <x v="31"/>
  </r>
  <r>
    <s v="CUST0295"/>
    <s v="Shamik Sur"/>
    <n v="32"/>
    <x v="1"/>
    <x v="1"/>
    <x v="0"/>
    <x v="294"/>
    <x v="294"/>
    <x v="17"/>
    <x v="166"/>
    <n v="239435"/>
    <x v="2"/>
    <x v="1"/>
    <x v="5"/>
  </r>
  <r>
    <s v="CUST0296"/>
    <s v="Hazel Bala"/>
    <n v="52"/>
    <x v="1"/>
    <x v="7"/>
    <x v="2"/>
    <x v="295"/>
    <x v="295"/>
    <x v="229"/>
    <x v="214"/>
    <n v="200110"/>
    <x v="0"/>
    <x v="1"/>
    <x v="4"/>
  </r>
  <r>
    <s v="CUST0297"/>
    <s v="Devansh Tara"/>
    <n v="29"/>
    <x v="1"/>
    <x v="1"/>
    <x v="2"/>
    <x v="296"/>
    <x v="296"/>
    <x v="230"/>
    <x v="215"/>
    <n v="63821"/>
    <x v="1"/>
    <x v="1"/>
    <x v="14"/>
  </r>
  <r>
    <s v="CUST0298"/>
    <s v="Arhaan Doctor"/>
    <n v="64"/>
    <x v="1"/>
    <x v="4"/>
    <x v="0"/>
    <x v="297"/>
    <x v="297"/>
    <x v="51"/>
    <x v="216"/>
    <n v="231640"/>
    <x v="2"/>
    <x v="0"/>
    <x v="27"/>
  </r>
  <r>
    <s v="CUST0299"/>
    <s v="Jhanvi Walia"/>
    <n v="44"/>
    <x v="0"/>
    <x v="6"/>
    <x v="3"/>
    <x v="298"/>
    <x v="298"/>
    <x v="231"/>
    <x v="217"/>
    <n v="59227"/>
    <x v="2"/>
    <x v="1"/>
    <x v="23"/>
  </r>
  <r>
    <s v="CUST0300"/>
    <s v="Aarna Amble"/>
    <n v="42"/>
    <x v="0"/>
    <x v="0"/>
    <x v="0"/>
    <x v="299"/>
    <x v="299"/>
    <x v="220"/>
    <x v="218"/>
    <n v="191648"/>
    <x v="2"/>
    <x v="1"/>
    <x v="17"/>
  </r>
  <r>
    <s v="CUST0301"/>
    <s v="Raunak Khurana"/>
    <n v="62"/>
    <x v="1"/>
    <x v="6"/>
    <x v="3"/>
    <x v="300"/>
    <x v="300"/>
    <x v="232"/>
    <x v="219"/>
    <n v="82279"/>
    <x v="1"/>
    <x v="1"/>
    <x v="16"/>
  </r>
  <r>
    <s v="CUST0302"/>
    <s v="Lagan Chauhan"/>
    <n v="62"/>
    <x v="1"/>
    <x v="5"/>
    <x v="3"/>
    <x v="301"/>
    <x v="301"/>
    <x v="146"/>
    <x v="220"/>
    <n v="199529"/>
    <x v="2"/>
    <x v="0"/>
    <x v="38"/>
  </r>
  <r>
    <s v="CUST0303"/>
    <s v="Tushar Bera"/>
    <n v="30"/>
    <x v="1"/>
    <x v="7"/>
    <x v="2"/>
    <x v="302"/>
    <x v="302"/>
    <x v="189"/>
    <x v="221"/>
    <n v="135793"/>
    <x v="0"/>
    <x v="1"/>
    <x v="24"/>
  </r>
  <r>
    <s v="CUST0304"/>
    <s v="Emir Dua"/>
    <n v="63"/>
    <x v="0"/>
    <x v="1"/>
    <x v="2"/>
    <x v="303"/>
    <x v="303"/>
    <x v="233"/>
    <x v="222"/>
    <n v="152853"/>
    <x v="0"/>
    <x v="0"/>
    <x v="25"/>
  </r>
  <r>
    <s v="CUST0305"/>
    <s v="Shaan D’Alia"/>
    <n v="20"/>
    <x v="1"/>
    <x v="0"/>
    <x v="0"/>
    <x v="304"/>
    <x v="304"/>
    <x v="1"/>
    <x v="223"/>
    <n v="139655"/>
    <x v="0"/>
    <x v="0"/>
    <x v="16"/>
  </r>
  <r>
    <s v="CUST0306"/>
    <s v="Vivaan Vig"/>
    <n v="41"/>
    <x v="1"/>
    <x v="3"/>
    <x v="3"/>
    <x v="305"/>
    <x v="305"/>
    <x v="234"/>
    <x v="224"/>
    <n v="148132"/>
    <x v="0"/>
    <x v="1"/>
    <x v="33"/>
  </r>
  <r>
    <s v="CUST0307"/>
    <s v="Inaaya  Swaminathan"/>
    <n v="19"/>
    <x v="0"/>
    <x v="1"/>
    <x v="3"/>
    <x v="306"/>
    <x v="306"/>
    <x v="235"/>
    <x v="225"/>
    <n v="121335"/>
    <x v="2"/>
    <x v="0"/>
    <x v="2"/>
  </r>
  <r>
    <s v="CUST0308"/>
    <s v="Alisha Walla"/>
    <n v="67"/>
    <x v="0"/>
    <x v="1"/>
    <x v="3"/>
    <x v="307"/>
    <x v="307"/>
    <x v="236"/>
    <x v="177"/>
    <n v="221214"/>
    <x v="1"/>
    <x v="1"/>
    <x v="31"/>
  </r>
  <r>
    <s v="CUST0309"/>
    <s v="Raghav Krishna"/>
    <n v="45"/>
    <x v="1"/>
    <x v="2"/>
    <x v="0"/>
    <x v="308"/>
    <x v="308"/>
    <x v="237"/>
    <x v="226"/>
    <n v="118690"/>
    <x v="1"/>
    <x v="1"/>
    <x v="4"/>
  </r>
  <r>
    <s v="CUST0310"/>
    <s v="Tejas Comar"/>
    <n v="37"/>
    <x v="1"/>
    <x v="6"/>
    <x v="3"/>
    <x v="309"/>
    <x v="309"/>
    <x v="42"/>
    <x v="128"/>
    <n v="199414"/>
    <x v="3"/>
    <x v="0"/>
    <x v="27"/>
  </r>
  <r>
    <s v="CUST0311"/>
    <s v="Tarini Tiwari"/>
    <n v="51"/>
    <x v="0"/>
    <x v="7"/>
    <x v="1"/>
    <x v="310"/>
    <x v="310"/>
    <x v="238"/>
    <x v="49"/>
    <n v="220664"/>
    <x v="1"/>
    <x v="1"/>
    <x v="27"/>
  </r>
  <r>
    <s v="CUST0312"/>
    <s v="Riya Swaminathan"/>
    <n v="44"/>
    <x v="0"/>
    <x v="4"/>
    <x v="3"/>
    <x v="311"/>
    <x v="311"/>
    <x v="208"/>
    <x v="227"/>
    <n v="126063"/>
    <x v="1"/>
    <x v="0"/>
    <x v="11"/>
  </r>
  <r>
    <s v="CUST0313"/>
    <s v="Vritika Handa"/>
    <n v="60"/>
    <x v="0"/>
    <x v="5"/>
    <x v="0"/>
    <x v="312"/>
    <x v="312"/>
    <x v="239"/>
    <x v="228"/>
    <n v="249767"/>
    <x v="3"/>
    <x v="1"/>
    <x v="8"/>
  </r>
  <r>
    <s v="CUST0314"/>
    <s v="Manikya Cheema"/>
    <n v="32"/>
    <x v="1"/>
    <x v="4"/>
    <x v="0"/>
    <x v="313"/>
    <x v="313"/>
    <x v="223"/>
    <x v="199"/>
    <n v="215090"/>
    <x v="2"/>
    <x v="0"/>
    <x v="13"/>
  </r>
  <r>
    <s v="CUST0315"/>
    <s v="Alia Gulati"/>
    <n v="58"/>
    <x v="0"/>
    <x v="0"/>
    <x v="3"/>
    <x v="314"/>
    <x v="314"/>
    <x v="240"/>
    <x v="63"/>
    <n v="172980"/>
    <x v="2"/>
    <x v="0"/>
    <x v="11"/>
  </r>
  <r>
    <s v="CUST0316"/>
    <s v="Nirvaan Bumb"/>
    <n v="27"/>
    <x v="1"/>
    <x v="3"/>
    <x v="3"/>
    <x v="315"/>
    <x v="315"/>
    <x v="241"/>
    <x v="229"/>
    <n v="56009"/>
    <x v="3"/>
    <x v="0"/>
    <x v="6"/>
  </r>
  <r>
    <s v="CUST0317"/>
    <s v="Tarini Dayal"/>
    <n v="49"/>
    <x v="0"/>
    <x v="3"/>
    <x v="2"/>
    <x v="316"/>
    <x v="316"/>
    <x v="242"/>
    <x v="230"/>
    <n v="107196"/>
    <x v="2"/>
    <x v="0"/>
    <x v="3"/>
  </r>
  <r>
    <s v="CUST0318"/>
    <s v="Abram Khatri"/>
    <n v="26"/>
    <x v="0"/>
    <x v="7"/>
    <x v="2"/>
    <x v="317"/>
    <x v="317"/>
    <x v="205"/>
    <x v="160"/>
    <n v="181082"/>
    <x v="1"/>
    <x v="0"/>
    <x v="22"/>
  </r>
  <r>
    <s v="CUST0319"/>
    <s v="Pari Tandon"/>
    <n v="38"/>
    <x v="0"/>
    <x v="5"/>
    <x v="3"/>
    <x v="318"/>
    <x v="318"/>
    <x v="243"/>
    <x v="155"/>
    <n v="218403"/>
    <x v="3"/>
    <x v="0"/>
    <x v="0"/>
  </r>
  <r>
    <s v="CUST0320"/>
    <s v="Stuvan Venkataraman"/>
    <n v="42"/>
    <x v="1"/>
    <x v="5"/>
    <x v="1"/>
    <x v="319"/>
    <x v="319"/>
    <x v="244"/>
    <x v="186"/>
    <n v="151946"/>
    <x v="3"/>
    <x v="1"/>
    <x v="34"/>
  </r>
  <r>
    <s v="CUST0321"/>
    <s v="Mehul Saha"/>
    <n v="49"/>
    <x v="0"/>
    <x v="1"/>
    <x v="0"/>
    <x v="320"/>
    <x v="320"/>
    <x v="238"/>
    <x v="231"/>
    <n v="114175"/>
    <x v="3"/>
    <x v="0"/>
    <x v="2"/>
  </r>
  <r>
    <s v="CUST0322"/>
    <s v="Hansh Sehgal"/>
    <n v="41"/>
    <x v="0"/>
    <x v="7"/>
    <x v="0"/>
    <x v="321"/>
    <x v="321"/>
    <x v="245"/>
    <x v="27"/>
    <n v="206413"/>
    <x v="0"/>
    <x v="0"/>
    <x v="24"/>
  </r>
  <r>
    <s v="CUST0323"/>
    <s v="Rati Iyengar"/>
    <n v="62"/>
    <x v="0"/>
    <x v="1"/>
    <x v="0"/>
    <x v="322"/>
    <x v="322"/>
    <x v="246"/>
    <x v="46"/>
    <n v="50353"/>
    <x v="1"/>
    <x v="1"/>
    <x v="22"/>
  </r>
  <r>
    <s v="CUST0324"/>
    <s v="Aarush Chada"/>
    <n v="60"/>
    <x v="0"/>
    <x v="2"/>
    <x v="3"/>
    <x v="323"/>
    <x v="323"/>
    <x v="83"/>
    <x v="232"/>
    <n v="46471"/>
    <x v="0"/>
    <x v="0"/>
    <x v="30"/>
  </r>
  <r>
    <s v="CUST0325"/>
    <s v="Akarsh Rout"/>
    <n v="49"/>
    <x v="1"/>
    <x v="6"/>
    <x v="2"/>
    <x v="324"/>
    <x v="324"/>
    <x v="61"/>
    <x v="233"/>
    <n v="72074"/>
    <x v="0"/>
    <x v="1"/>
    <x v="18"/>
  </r>
  <r>
    <s v="CUST0326"/>
    <s v="Ayesha Comar"/>
    <n v="31"/>
    <x v="0"/>
    <x v="4"/>
    <x v="2"/>
    <x v="325"/>
    <x v="325"/>
    <x v="247"/>
    <x v="168"/>
    <n v="200408"/>
    <x v="0"/>
    <x v="0"/>
    <x v="5"/>
  </r>
  <r>
    <s v="CUST0327"/>
    <s v="Nirvi Khalsa"/>
    <n v="64"/>
    <x v="1"/>
    <x v="6"/>
    <x v="1"/>
    <x v="326"/>
    <x v="326"/>
    <x v="248"/>
    <x v="234"/>
    <n v="209681"/>
    <x v="0"/>
    <x v="0"/>
    <x v="35"/>
  </r>
  <r>
    <s v="CUST0328"/>
    <s v="Zeeshan Kale"/>
    <n v="70"/>
    <x v="1"/>
    <x v="2"/>
    <x v="0"/>
    <x v="327"/>
    <x v="327"/>
    <x v="249"/>
    <x v="235"/>
    <n v="65797"/>
    <x v="0"/>
    <x v="0"/>
    <x v="5"/>
  </r>
  <r>
    <s v="CUST0329"/>
    <s v="Jivin Bera"/>
    <n v="26"/>
    <x v="0"/>
    <x v="5"/>
    <x v="3"/>
    <x v="328"/>
    <x v="328"/>
    <x v="250"/>
    <x v="236"/>
    <n v="193894"/>
    <x v="3"/>
    <x v="0"/>
    <x v="26"/>
  </r>
  <r>
    <s v="CUST0330"/>
    <s v="Anya Kamdar"/>
    <n v="43"/>
    <x v="1"/>
    <x v="3"/>
    <x v="0"/>
    <x v="329"/>
    <x v="329"/>
    <x v="175"/>
    <x v="149"/>
    <n v="124923"/>
    <x v="3"/>
    <x v="0"/>
    <x v="40"/>
  </r>
  <r>
    <s v="CUST0331"/>
    <s v="Oorja Edwin"/>
    <n v="28"/>
    <x v="1"/>
    <x v="5"/>
    <x v="0"/>
    <x v="330"/>
    <x v="330"/>
    <x v="65"/>
    <x v="94"/>
    <n v="47187"/>
    <x v="3"/>
    <x v="1"/>
    <x v="3"/>
  </r>
  <r>
    <s v="CUST0332"/>
    <s v="Gokul Dasgupta"/>
    <n v="49"/>
    <x v="0"/>
    <x v="1"/>
    <x v="3"/>
    <x v="331"/>
    <x v="331"/>
    <x v="251"/>
    <x v="237"/>
    <n v="49605"/>
    <x v="0"/>
    <x v="1"/>
    <x v="1"/>
  </r>
  <r>
    <s v="CUST0333"/>
    <s v="Vidur Wagle"/>
    <n v="60"/>
    <x v="0"/>
    <x v="7"/>
    <x v="2"/>
    <x v="332"/>
    <x v="332"/>
    <x v="175"/>
    <x v="238"/>
    <n v="210487"/>
    <x v="2"/>
    <x v="1"/>
    <x v="40"/>
  </r>
  <r>
    <s v="CUST0334"/>
    <s v="Zara Bhatnagar"/>
    <n v="28"/>
    <x v="0"/>
    <x v="0"/>
    <x v="1"/>
    <x v="333"/>
    <x v="333"/>
    <x v="252"/>
    <x v="179"/>
    <n v="39625"/>
    <x v="3"/>
    <x v="0"/>
    <x v="15"/>
  </r>
  <r>
    <s v="CUST0335"/>
    <s v="Zeeshan Mane"/>
    <n v="47"/>
    <x v="1"/>
    <x v="7"/>
    <x v="0"/>
    <x v="334"/>
    <x v="334"/>
    <x v="253"/>
    <x v="122"/>
    <n v="136441"/>
    <x v="2"/>
    <x v="1"/>
    <x v="27"/>
  </r>
  <r>
    <s v="CUST0336"/>
    <s v="Armaan Jani"/>
    <n v="20"/>
    <x v="0"/>
    <x v="4"/>
    <x v="3"/>
    <x v="335"/>
    <x v="335"/>
    <x v="254"/>
    <x v="63"/>
    <n v="166048"/>
    <x v="1"/>
    <x v="0"/>
    <x v="36"/>
  </r>
  <r>
    <s v="CUST0337"/>
    <s v="Arnav Singhal"/>
    <n v="70"/>
    <x v="1"/>
    <x v="2"/>
    <x v="0"/>
    <x v="336"/>
    <x v="336"/>
    <x v="255"/>
    <x v="1"/>
    <n v="78436"/>
    <x v="3"/>
    <x v="0"/>
    <x v="1"/>
  </r>
  <r>
    <s v="CUST0338"/>
    <s v="Zain Batta"/>
    <n v="39"/>
    <x v="0"/>
    <x v="7"/>
    <x v="2"/>
    <x v="337"/>
    <x v="337"/>
    <x v="63"/>
    <x v="239"/>
    <n v="113097"/>
    <x v="2"/>
    <x v="0"/>
    <x v="24"/>
  </r>
  <r>
    <s v="CUST0339"/>
    <s v="Anvi Jain"/>
    <n v="70"/>
    <x v="0"/>
    <x v="0"/>
    <x v="2"/>
    <x v="338"/>
    <x v="338"/>
    <x v="256"/>
    <x v="240"/>
    <n v="207919"/>
    <x v="2"/>
    <x v="0"/>
    <x v="11"/>
  </r>
  <r>
    <s v="CUST0340"/>
    <s v="Ela Tripathi"/>
    <n v="63"/>
    <x v="1"/>
    <x v="3"/>
    <x v="1"/>
    <x v="339"/>
    <x v="339"/>
    <x v="257"/>
    <x v="4"/>
    <n v="108587"/>
    <x v="0"/>
    <x v="0"/>
    <x v="6"/>
  </r>
  <r>
    <s v="CUST0341"/>
    <s v="Khushi Kannan"/>
    <n v="53"/>
    <x v="0"/>
    <x v="3"/>
    <x v="2"/>
    <x v="340"/>
    <x v="340"/>
    <x v="71"/>
    <x v="241"/>
    <n v="133458"/>
    <x v="0"/>
    <x v="1"/>
    <x v="37"/>
  </r>
  <r>
    <s v="CUST0342"/>
    <s v="Prisha Bobal"/>
    <n v="60"/>
    <x v="0"/>
    <x v="6"/>
    <x v="1"/>
    <x v="341"/>
    <x v="341"/>
    <x v="81"/>
    <x v="232"/>
    <n v="177429"/>
    <x v="1"/>
    <x v="1"/>
    <x v="38"/>
  </r>
  <r>
    <s v="CUST0343"/>
    <s v="Neysa Krishnamurthy"/>
    <n v="46"/>
    <x v="1"/>
    <x v="1"/>
    <x v="2"/>
    <x v="342"/>
    <x v="342"/>
    <x v="258"/>
    <x v="220"/>
    <n v="230972"/>
    <x v="3"/>
    <x v="1"/>
    <x v="40"/>
  </r>
  <r>
    <s v="CUST0344"/>
    <s v="Piya Rastogi"/>
    <n v="61"/>
    <x v="1"/>
    <x v="2"/>
    <x v="3"/>
    <x v="343"/>
    <x v="343"/>
    <x v="259"/>
    <x v="242"/>
    <n v="110516"/>
    <x v="2"/>
    <x v="1"/>
    <x v="33"/>
  </r>
  <r>
    <s v="CUST0345"/>
    <s v="Devansh Gara"/>
    <n v="61"/>
    <x v="0"/>
    <x v="7"/>
    <x v="1"/>
    <x v="344"/>
    <x v="344"/>
    <x v="260"/>
    <x v="194"/>
    <n v="216049"/>
    <x v="3"/>
    <x v="0"/>
    <x v="20"/>
  </r>
  <r>
    <s v="CUST0346"/>
    <s v="Kismat Jayaraman"/>
    <n v="60"/>
    <x v="0"/>
    <x v="7"/>
    <x v="3"/>
    <x v="345"/>
    <x v="345"/>
    <x v="261"/>
    <x v="243"/>
    <n v="34838"/>
    <x v="3"/>
    <x v="0"/>
    <x v="5"/>
  </r>
  <r>
    <s v="CUST0347"/>
    <s v="Samarth Bal"/>
    <n v="40"/>
    <x v="1"/>
    <x v="1"/>
    <x v="3"/>
    <x v="346"/>
    <x v="346"/>
    <x v="262"/>
    <x v="32"/>
    <n v="233392"/>
    <x v="0"/>
    <x v="1"/>
    <x v="2"/>
  </r>
  <r>
    <s v="CUST0348"/>
    <s v="Sumer Warrior"/>
    <n v="42"/>
    <x v="0"/>
    <x v="6"/>
    <x v="2"/>
    <x v="347"/>
    <x v="347"/>
    <x v="263"/>
    <x v="160"/>
    <n v="129200"/>
    <x v="2"/>
    <x v="0"/>
    <x v="33"/>
  </r>
  <r>
    <s v="CUST0349"/>
    <s v="Dishani Sami"/>
    <n v="58"/>
    <x v="0"/>
    <x v="6"/>
    <x v="1"/>
    <x v="348"/>
    <x v="348"/>
    <x v="264"/>
    <x v="244"/>
    <n v="204714"/>
    <x v="3"/>
    <x v="0"/>
    <x v="12"/>
  </r>
  <r>
    <s v="CUST0350"/>
    <s v="Onkar Hayer"/>
    <n v="29"/>
    <x v="1"/>
    <x v="3"/>
    <x v="2"/>
    <x v="349"/>
    <x v="349"/>
    <x v="214"/>
    <x v="8"/>
    <n v="65559"/>
    <x v="1"/>
    <x v="0"/>
    <x v="17"/>
  </r>
  <r>
    <s v="CUST0351"/>
    <s v="Shayak Bhardwaj"/>
    <n v="39"/>
    <x v="0"/>
    <x v="6"/>
    <x v="1"/>
    <x v="350"/>
    <x v="350"/>
    <x v="227"/>
    <x v="144"/>
    <n v="142245"/>
    <x v="1"/>
    <x v="0"/>
    <x v="27"/>
  </r>
  <r>
    <s v="CUST0352"/>
    <s v="Anahita Varty"/>
    <n v="68"/>
    <x v="0"/>
    <x v="0"/>
    <x v="1"/>
    <x v="351"/>
    <x v="351"/>
    <x v="159"/>
    <x v="245"/>
    <n v="205514"/>
    <x v="0"/>
    <x v="1"/>
    <x v="10"/>
  </r>
  <r>
    <s v="CUST0353"/>
    <s v="Shlok Brar"/>
    <n v="32"/>
    <x v="1"/>
    <x v="7"/>
    <x v="0"/>
    <x v="352"/>
    <x v="352"/>
    <x v="265"/>
    <x v="246"/>
    <n v="75929"/>
    <x v="1"/>
    <x v="1"/>
    <x v="34"/>
  </r>
  <r>
    <s v="CUST0354"/>
    <s v="Sumer Ram"/>
    <n v="33"/>
    <x v="1"/>
    <x v="2"/>
    <x v="1"/>
    <x v="353"/>
    <x v="353"/>
    <x v="29"/>
    <x v="10"/>
    <n v="188365"/>
    <x v="1"/>
    <x v="1"/>
    <x v="7"/>
  </r>
  <r>
    <s v="CUST0355"/>
    <s v="Akarsh Kapadia"/>
    <n v="19"/>
    <x v="1"/>
    <x v="1"/>
    <x v="3"/>
    <x v="354"/>
    <x v="354"/>
    <x v="71"/>
    <x v="122"/>
    <n v="155493"/>
    <x v="0"/>
    <x v="0"/>
    <x v="22"/>
  </r>
  <r>
    <s v="CUST0356"/>
    <s v="Zeeshan Bedi"/>
    <n v="28"/>
    <x v="0"/>
    <x v="0"/>
    <x v="0"/>
    <x v="355"/>
    <x v="355"/>
    <x v="266"/>
    <x v="5"/>
    <n v="222720"/>
    <x v="3"/>
    <x v="1"/>
    <x v="5"/>
  </r>
  <r>
    <s v="CUST0357"/>
    <s v="Arnav Gaba"/>
    <n v="59"/>
    <x v="1"/>
    <x v="7"/>
    <x v="0"/>
    <x v="356"/>
    <x v="356"/>
    <x v="227"/>
    <x v="175"/>
    <n v="234107"/>
    <x v="0"/>
    <x v="0"/>
    <x v="3"/>
  </r>
  <r>
    <s v="CUST0358"/>
    <s v="Vardaniya Sen"/>
    <n v="29"/>
    <x v="1"/>
    <x v="4"/>
    <x v="1"/>
    <x v="357"/>
    <x v="357"/>
    <x v="4"/>
    <x v="247"/>
    <n v="228198"/>
    <x v="2"/>
    <x v="1"/>
    <x v="13"/>
  </r>
  <r>
    <s v="CUST0359"/>
    <s v="Ira Ratta"/>
    <n v="19"/>
    <x v="0"/>
    <x v="2"/>
    <x v="3"/>
    <x v="358"/>
    <x v="358"/>
    <x v="251"/>
    <x v="248"/>
    <n v="122105"/>
    <x v="0"/>
    <x v="1"/>
    <x v="8"/>
  </r>
  <r>
    <s v="CUST0360"/>
    <s v="Jayesh Randhawa"/>
    <n v="68"/>
    <x v="0"/>
    <x v="4"/>
    <x v="2"/>
    <x v="359"/>
    <x v="359"/>
    <x v="250"/>
    <x v="249"/>
    <n v="199798"/>
    <x v="3"/>
    <x v="0"/>
    <x v="21"/>
  </r>
  <r>
    <s v="CUST0361"/>
    <s v="Anahi Date"/>
    <n v="65"/>
    <x v="1"/>
    <x v="5"/>
    <x v="0"/>
    <x v="360"/>
    <x v="360"/>
    <x v="267"/>
    <x v="250"/>
    <n v="122496"/>
    <x v="3"/>
    <x v="0"/>
    <x v="26"/>
  </r>
  <r>
    <s v="CUST0362"/>
    <s v="Vihaan Talwar"/>
    <n v="20"/>
    <x v="0"/>
    <x v="5"/>
    <x v="2"/>
    <x v="361"/>
    <x v="361"/>
    <x v="246"/>
    <x v="13"/>
    <n v="21318"/>
    <x v="2"/>
    <x v="0"/>
    <x v="10"/>
  </r>
  <r>
    <s v="CUST0363"/>
    <s v="Parinaaz Sekhon"/>
    <n v="28"/>
    <x v="0"/>
    <x v="4"/>
    <x v="0"/>
    <x v="362"/>
    <x v="362"/>
    <x v="268"/>
    <x v="251"/>
    <n v="68232"/>
    <x v="1"/>
    <x v="0"/>
    <x v="31"/>
  </r>
  <r>
    <s v="CUST0364"/>
    <s v="Onkar Sampath"/>
    <n v="34"/>
    <x v="0"/>
    <x v="2"/>
    <x v="3"/>
    <x v="363"/>
    <x v="363"/>
    <x v="252"/>
    <x v="116"/>
    <n v="45743"/>
    <x v="0"/>
    <x v="0"/>
    <x v="19"/>
  </r>
  <r>
    <s v="CUST0365"/>
    <s v="Nirvi Mangat"/>
    <n v="38"/>
    <x v="1"/>
    <x v="5"/>
    <x v="1"/>
    <x v="364"/>
    <x v="364"/>
    <x v="269"/>
    <x v="124"/>
    <n v="147365"/>
    <x v="3"/>
    <x v="0"/>
    <x v="25"/>
  </r>
  <r>
    <s v="CUST0366"/>
    <s v="Kismat Acharya"/>
    <n v="38"/>
    <x v="0"/>
    <x v="5"/>
    <x v="1"/>
    <x v="365"/>
    <x v="365"/>
    <x v="34"/>
    <x v="252"/>
    <n v="84533"/>
    <x v="2"/>
    <x v="1"/>
    <x v="40"/>
  </r>
  <r>
    <s v="CUST0367"/>
    <s v="Prerak Ray"/>
    <n v="40"/>
    <x v="1"/>
    <x v="3"/>
    <x v="2"/>
    <x v="366"/>
    <x v="366"/>
    <x v="121"/>
    <x v="52"/>
    <n v="223100"/>
    <x v="1"/>
    <x v="0"/>
    <x v="12"/>
  </r>
  <r>
    <s v="CUST0368"/>
    <s v="Baiju Bakshi"/>
    <n v="64"/>
    <x v="1"/>
    <x v="1"/>
    <x v="0"/>
    <x v="367"/>
    <x v="367"/>
    <x v="49"/>
    <x v="66"/>
    <n v="39765"/>
    <x v="1"/>
    <x v="1"/>
    <x v="25"/>
  </r>
  <r>
    <s v="CUST0369"/>
    <s v="Tushar Bhandari"/>
    <n v="59"/>
    <x v="0"/>
    <x v="0"/>
    <x v="3"/>
    <x v="368"/>
    <x v="368"/>
    <x v="270"/>
    <x v="156"/>
    <n v="223213"/>
    <x v="0"/>
    <x v="0"/>
    <x v="22"/>
  </r>
  <r>
    <s v="CUST0370"/>
    <s v="Arhaan Madan"/>
    <n v="69"/>
    <x v="0"/>
    <x v="4"/>
    <x v="3"/>
    <x v="369"/>
    <x v="369"/>
    <x v="271"/>
    <x v="122"/>
    <n v="180965"/>
    <x v="0"/>
    <x v="0"/>
    <x v="29"/>
  </r>
  <r>
    <s v="CUST0371"/>
    <s v="Ranbir Chana"/>
    <n v="66"/>
    <x v="1"/>
    <x v="0"/>
    <x v="1"/>
    <x v="370"/>
    <x v="370"/>
    <x v="198"/>
    <x v="215"/>
    <n v="147832"/>
    <x v="2"/>
    <x v="0"/>
    <x v="5"/>
  </r>
  <r>
    <s v="CUST0372"/>
    <s v="Nitara Sidhu"/>
    <n v="20"/>
    <x v="1"/>
    <x v="3"/>
    <x v="1"/>
    <x v="371"/>
    <x v="371"/>
    <x v="92"/>
    <x v="253"/>
    <n v="190006"/>
    <x v="2"/>
    <x v="1"/>
    <x v="30"/>
  </r>
  <r>
    <s v="CUST0373"/>
    <s v="Riaan Choudhury"/>
    <n v="55"/>
    <x v="0"/>
    <x v="0"/>
    <x v="3"/>
    <x v="372"/>
    <x v="372"/>
    <x v="272"/>
    <x v="254"/>
    <n v="191268"/>
    <x v="1"/>
    <x v="1"/>
    <x v="38"/>
  </r>
  <r>
    <s v="CUST0374"/>
    <s v="Himmat Chhabra"/>
    <n v="68"/>
    <x v="0"/>
    <x v="6"/>
    <x v="2"/>
    <x v="373"/>
    <x v="373"/>
    <x v="273"/>
    <x v="170"/>
    <n v="146382"/>
    <x v="3"/>
    <x v="0"/>
    <x v="31"/>
  </r>
  <r>
    <s v="CUST0375"/>
    <s v="Riaan Sachdeva"/>
    <n v="28"/>
    <x v="0"/>
    <x v="4"/>
    <x v="1"/>
    <x v="374"/>
    <x v="374"/>
    <x v="274"/>
    <x v="150"/>
    <n v="114954"/>
    <x v="2"/>
    <x v="0"/>
    <x v="39"/>
  </r>
  <r>
    <s v="CUST0376"/>
    <s v="Anya Hayre"/>
    <n v="55"/>
    <x v="0"/>
    <x v="3"/>
    <x v="0"/>
    <x v="375"/>
    <x v="375"/>
    <x v="275"/>
    <x v="118"/>
    <n v="62269"/>
    <x v="3"/>
    <x v="0"/>
    <x v="19"/>
  </r>
  <r>
    <s v="CUST0377"/>
    <s v="Lakshay Dhaliwal"/>
    <n v="28"/>
    <x v="0"/>
    <x v="6"/>
    <x v="0"/>
    <x v="376"/>
    <x v="376"/>
    <x v="276"/>
    <x v="255"/>
    <n v="87701"/>
    <x v="3"/>
    <x v="1"/>
    <x v="38"/>
  </r>
  <r>
    <s v="CUST0378"/>
    <s v="Advik Shroff"/>
    <n v="56"/>
    <x v="0"/>
    <x v="6"/>
    <x v="2"/>
    <x v="377"/>
    <x v="377"/>
    <x v="277"/>
    <x v="256"/>
    <n v="143578"/>
    <x v="1"/>
    <x v="1"/>
    <x v="29"/>
  </r>
  <r>
    <s v="CUST0379"/>
    <s v="Zeeshan Seth"/>
    <n v="56"/>
    <x v="1"/>
    <x v="3"/>
    <x v="0"/>
    <x v="378"/>
    <x v="378"/>
    <x v="236"/>
    <x v="257"/>
    <n v="174821"/>
    <x v="3"/>
    <x v="1"/>
    <x v="20"/>
  </r>
  <r>
    <s v="CUST0380"/>
    <s v="Gatik Raju"/>
    <n v="57"/>
    <x v="1"/>
    <x v="3"/>
    <x v="0"/>
    <x v="379"/>
    <x v="379"/>
    <x v="278"/>
    <x v="107"/>
    <n v="177237"/>
    <x v="2"/>
    <x v="1"/>
    <x v="19"/>
  </r>
  <r>
    <s v="CUST0381"/>
    <s v="Oorja Barad"/>
    <n v="41"/>
    <x v="1"/>
    <x v="5"/>
    <x v="0"/>
    <x v="380"/>
    <x v="380"/>
    <x v="279"/>
    <x v="258"/>
    <n v="249329"/>
    <x v="2"/>
    <x v="0"/>
    <x v="39"/>
  </r>
  <r>
    <s v="CUST0382"/>
    <s v="Parinaaz Desai"/>
    <n v="34"/>
    <x v="1"/>
    <x v="6"/>
    <x v="2"/>
    <x v="381"/>
    <x v="381"/>
    <x v="280"/>
    <x v="259"/>
    <n v="145079"/>
    <x v="0"/>
    <x v="0"/>
    <x v="12"/>
  </r>
  <r>
    <s v="CUST0383"/>
    <s v="Kabir Choudhury"/>
    <n v="54"/>
    <x v="1"/>
    <x v="5"/>
    <x v="0"/>
    <x v="382"/>
    <x v="382"/>
    <x v="186"/>
    <x v="260"/>
    <n v="156980"/>
    <x v="3"/>
    <x v="1"/>
    <x v="39"/>
  </r>
  <r>
    <s v="CUST0384"/>
    <s v="Rohan Uppal"/>
    <n v="59"/>
    <x v="1"/>
    <x v="0"/>
    <x v="2"/>
    <x v="383"/>
    <x v="383"/>
    <x v="14"/>
    <x v="261"/>
    <n v="173451"/>
    <x v="2"/>
    <x v="1"/>
    <x v="16"/>
  </r>
  <r>
    <s v="CUST0385"/>
    <s v="Taran Kadakia"/>
    <n v="29"/>
    <x v="1"/>
    <x v="3"/>
    <x v="0"/>
    <x v="384"/>
    <x v="384"/>
    <x v="281"/>
    <x v="262"/>
    <n v="117049"/>
    <x v="3"/>
    <x v="1"/>
    <x v="18"/>
  </r>
  <r>
    <s v="CUST0386"/>
    <s v="Damini Thakkar"/>
    <n v="68"/>
    <x v="0"/>
    <x v="3"/>
    <x v="1"/>
    <x v="385"/>
    <x v="385"/>
    <x v="71"/>
    <x v="263"/>
    <n v="203320"/>
    <x v="0"/>
    <x v="0"/>
    <x v="28"/>
  </r>
  <r>
    <s v="CUST0387"/>
    <s v="Gatik Bajwa"/>
    <n v="70"/>
    <x v="1"/>
    <x v="2"/>
    <x v="0"/>
    <x v="386"/>
    <x v="386"/>
    <x v="282"/>
    <x v="169"/>
    <n v="58096"/>
    <x v="2"/>
    <x v="1"/>
    <x v="17"/>
  </r>
  <r>
    <s v="CUST0388"/>
    <s v="Samaira Sarkar"/>
    <n v="57"/>
    <x v="0"/>
    <x v="4"/>
    <x v="1"/>
    <x v="387"/>
    <x v="387"/>
    <x v="283"/>
    <x v="13"/>
    <n v="192012"/>
    <x v="0"/>
    <x v="0"/>
    <x v="28"/>
  </r>
  <r>
    <s v="CUST0389"/>
    <s v="Charvi Dhar"/>
    <n v="60"/>
    <x v="0"/>
    <x v="7"/>
    <x v="3"/>
    <x v="388"/>
    <x v="388"/>
    <x v="284"/>
    <x v="264"/>
    <n v="230740"/>
    <x v="3"/>
    <x v="0"/>
    <x v="32"/>
  </r>
  <r>
    <s v="CUST0390"/>
    <s v="Anahita Bumb"/>
    <n v="28"/>
    <x v="0"/>
    <x v="7"/>
    <x v="0"/>
    <x v="389"/>
    <x v="389"/>
    <x v="285"/>
    <x v="265"/>
    <n v="42765"/>
    <x v="0"/>
    <x v="1"/>
    <x v="21"/>
  </r>
  <r>
    <s v="CUST0391"/>
    <s v="Jayant Venkatesh"/>
    <n v="64"/>
    <x v="0"/>
    <x v="1"/>
    <x v="1"/>
    <x v="390"/>
    <x v="390"/>
    <x v="204"/>
    <x v="14"/>
    <n v="237517"/>
    <x v="2"/>
    <x v="0"/>
    <x v="30"/>
  </r>
  <r>
    <s v="CUST0392"/>
    <s v="Mohanlal Kapadia"/>
    <n v="34"/>
    <x v="0"/>
    <x v="6"/>
    <x v="3"/>
    <x v="391"/>
    <x v="391"/>
    <x v="221"/>
    <x v="242"/>
    <n v="65884"/>
    <x v="2"/>
    <x v="1"/>
    <x v="4"/>
  </r>
  <r>
    <s v="CUST0393"/>
    <s v="Sana Keer"/>
    <n v="54"/>
    <x v="0"/>
    <x v="4"/>
    <x v="0"/>
    <x v="392"/>
    <x v="392"/>
    <x v="195"/>
    <x v="266"/>
    <n v="146780"/>
    <x v="1"/>
    <x v="0"/>
    <x v="3"/>
  </r>
  <r>
    <s v="CUST0394"/>
    <s v="Azad Kibe"/>
    <n v="42"/>
    <x v="1"/>
    <x v="7"/>
    <x v="3"/>
    <x v="393"/>
    <x v="393"/>
    <x v="274"/>
    <x v="267"/>
    <n v="186110"/>
    <x v="3"/>
    <x v="1"/>
    <x v="27"/>
  </r>
  <r>
    <s v="CUST0395"/>
    <s v="Myra Koshy"/>
    <n v="23"/>
    <x v="1"/>
    <x v="5"/>
    <x v="3"/>
    <x v="394"/>
    <x v="394"/>
    <x v="286"/>
    <x v="56"/>
    <n v="124577"/>
    <x v="3"/>
    <x v="1"/>
    <x v="37"/>
  </r>
  <r>
    <s v="CUST0396"/>
    <s v="Aradhya Singhal"/>
    <n v="29"/>
    <x v="0"/>
    <x v="6"/>
    <x v="2"/>
    <x v="395"/>
    <x v="395"/>
    <x v="253"/>
    <x v="148"/>
    <n v="215600"/>
    <x v="3"/>
    <x v="0"/>
    <x v="11"/>
  </r>
  <r>
    <s v="CUST0397"/>
    <s v="Ivan Seshadri"/>
    <n v="33"/>
    <x v="1"/>
    <x v="7"/>
    <x v="0"/>
    <x v="396"/>
    <x v="396"/>
    <x v="40"/>
    <x v="203"/>
    <n v="239240"/>
    <x v="2"/>
    <x v="1"/>
    <x v="37"/>
  </r>
  <r>
    <s v="CUST0398"/>
    <s v="Samarth Warrior"/>
    <n v="57"/>
    <x v="0"/>
    <x v="6"/>
    <x v="1"/>
    <x v="397"/>
    <x v="397"/>
    <x v="287"/>
    <x v="268"/>
    <n v="102684"/>
    <x v="3"/>
    <x v="0"/>
    <x v="17"/>
  </r>
  <r>
    <s v="CUST0399"/>
    <s v="Taran Arya"/>
    <n v="21"/>
    <x v="1"/>
    <x v="3"/>
    <x v="1"/>
    <x v="398"/>
    <x v="398"/>
    <x v="43"/>
    <x v="60"/>
    <n v="157818"/>
    <x v="0"/>
    <x v="1"/>
    <x v="36"/>
  </r>
  <r>
    <s v="CUST0400"/>
    <s v="Renee Baria"/>
    <n v="38"/>
    <x v="1"/>
    <x v="6"/>
    <x v="2"/>
    <x v="399"/>
    <x v="399"/>
    <x v="288"/>
    <x v="174"/>
    <n v="200672"/>
    <x v="1"/>
    <x v="0"/>
    <x v="23"/>
  </r>
  <r>
    <s v="CUST0401"/>
    <s v="Azad Saini"/>
    <n v="35"/>
    <x v="1"/>
    <x v="5"/>
    <x v="3"/>
    <x v="400"/>
    <x v="400"/>
    <x v="159"/>
    <x v="269"/>
    <n v="143560"/>
    <x v="2"/>
    <x v="1"/>
    <x v="14"/>
  </r>
  <r>
    <s v="CUST0402"/>
    <s v="Kartik Sarma"/>
    <n v="46"/>
    <x v="1"/>
    <x v="1"/>
    <x v="1"/>
    <x v="401"/>
    <x v="401"/>
    <x v="279"/>
    <x v="66"/>
    <n v="67156"/>
    <x v="2"/>
    <x v="0"/>
    <x v="23"/>
  </r>
  <r>
    <s v="CUST0403"/>
    <s v="Rhea Sen"/>
    <n v="27"/>
    <x v="0"/>
    <x v="5"/>
    <x v="1"/>
    <x v="402"/>
    <x v="402"/>
    <x v="199"/>
    <x v="270"/>
    <n v="229725"/>
    <x v="1"/>
    <x v="1"/>
    <x v="14"/>
  </r>
  <r>
    <s v="CUST0404"/>
    <s v="Ryan Bajwa"/>
    <n v="53"/>
    <x v="1"/>
    <x v="4"/>
    <x v="0"/>
    <x v="403"/>
    <x v="403"/>
    <x v="289"/>
    <x v="271"/>
    <n v="245051"/>
    <x v="2"/>
    <x v="1"/>
    <x v="2"/>
  </r>
  <r>
    <s v="CUST0405"/>
    <s v="Advik Borde"/>
    <n v="34"/>
    <x v="0"/>
    <x v="5"/>
    <x v="2"/>
    <x v="404"/>
    <x v="404"/>
    <x v="290"/>
    <x v="272"/>
    <n v="114624"/>
    <x v="3"/>
    <x v="1"/>
    <x v="20"/>
  </r>
  <r>
    <s v="CUST0406"/>
    <s v="Raunak Venkatesh"/>
    <n v="40"/>
    <x v="1"/>
    <x v="4"/>
    <x v="2"/>
    <x v="405"/>
    <x v="405"/>
    <x v="291"/>
    <x v="63"/>
    <n v="105220"/>
    <x v="3"/>
    <x v="1"/>
    <x v="10"/>
  </r>
  <r>
    <s v="CUST0407"/>
    <s v="Riaan Mangat"/>
    <n v="44"/>
    <x v="0"/>
    <x v="5"/>
    <x v="3"/>
    <x v="406"/>
    <x v="406"/>
    <x v="292"/>
    <x v="273"/>
    <n v="185484"/>
    <x v="1"/>
    <x v="1"/>
    <x v="29"/>
  </r>
  <r>
    <s v="CUST0408"/>
    <s v="Anika Karnik"/>
    <n v="56"/>
    <x v="1"/>
    <x v="0"/>
    <x v="2"/>
    <x v="407"/>
    <x v="407"/>
    <x v="293"/>
    <x v="71"/>
    <n v="188989"/>
    <x v="3"/>
    <x v="0"/>
    <x v="25"/>
  </r>
  <r>
    <s v="CUST0409"/>
    <s v="Piya Yadav"/>
    <n v="26"/>
    <x v="0"/>
    <x v="2"/>
    <x v="0"/>
    <x v="408"/>
    <x v="408"/>
    <x v="294"/>
    <x v="5"/>
    <n v="210781"/>
    <x v="2"/>
    <x v="0"/>
    <x v="31"/>
  </r>
  <r>
    <s v="CUST0410"/>
    <s v="Bhamini Kurian"/>
    <n v="19"/>
    <x v="0"/>
    <x v="2"/>
    <x v="1"/>
    <x v="409"/>
    <x v="409"/>
    <x v="280"/>
    <x v="274"/>
    <n v="222095"/>
    <x v="1"/>
    <x v="0"/>
    <x v="13"/>
  </r>
  <r>
    <s v="CUST0411"/>
    <s v="Kimaya Malhotra"/>
    <n v="33"/>
    <x v="0"/>
    <x v="7"/>
    <x v="3"/>
    <x v="410"/>
    <x v="410"/>
    <x v="23"/>
    <x v="89"/>
    <n v="213355"/>
    <x v="1"/>
    <x v="1"/>
    <x v="40"/>
  </r>
  <r>
    <s v="CUST0412"/>
    <s v="Kanav Jha"/>
    <n v="47"/>
    <x v="0"/>
    <x v="4"/>
    <x v="1"/>
    <x v="411"/>
    <x v="411"/>
    <x v="295"/>
    <x v="183"/>
    <n v="248300"/>
    <x v="1"/>
    <x v="1"/>
    <x v="38"/>
  </r>
  <r>
    <s v="CUST0413"/>
    <s v="Devansh Deol"/>
    <n v="48"/>
    <x v="0"/>
    <x v="6"/>
    <x v="0"/>
    <x v="412"/>
    <x v="412"/>
    <x v="140"/>
    <x v="193"/>
    <n v="161470"/>
    <x v="0"/>
    <x v="0"/>
    <x v="21"/>
  </r>
  <r>
    <s v="CUST0414"/>
    <s v="Gatik Shankar"/>
    <n v="40"/>
    <x v="1"/>
    <x v="7"/>
    <x v="1"/>
    <x v="413"/>
    <x v="413"/>
    <x v="67"/>
    <x v="13"/>
    <n v="95173"/>
    <x v="1"/>
    <x v="0"/>
    <x v="8"/>
  </r>
  <r>
    <s v="CUST0415"/>
    <s v="Taimur Hayer"/>
    <n v="68"/>
    <x v="0"/>
    <x v="0"/>
    <x v="1"/>
    <x v="414"/>
    <x v="414"/>
    <x v="296"/>
    <x v="275"/>
    <n v="21892"/>
    <x v="3"/>
    <x v="1"/>
    <x v="21"/>
  </r>
  <r>
    <s v="CUST0416"/>
    <s v="Alia Dhawan"/>
    <n v="23"/>
    <x v="1"/>
    <x v="0"/>
    <x v="2"/>
    <x v="415"/>
    <x v="415"/>
    <x v="100"/>
    <x v="259"/>
    <n v="130687"/>
    <x v="0"/>
    <x v="0"/>
    <x v="1"/>
  </r>
  <r>
    <s v="CUST0417"/>
    <s v="Aarush Cheema"/>
    <n v="26"/>
    <x v="1"/>
    <x v="1"/>
    <x v="3"/>
    <x v="416"/>
    <x v="416"/>
    <x v="297"/>
    <x v="196"/>
    <n v="95915"/>
    <x v="0"/>
    <x v="0"/>
    <x v="32"/>
  </r>
  <r>
    <s v="CUST0418"/>
    <s v="Hiran Sengupta"/>
    <n v="21"/>
    <x v="1"/>
    <x v="7"/>
    <x v="2"/>
    <x v="417"/>
    <x v="417"/>
    <x v="298"/>
    <x v="157"/>
    <n v="160239"/>
    <x v="0"/>
    <x v="0"/>
    <x v="19"/>
  </r>
  <r>
    <s v="CUST0419"/>
    <s v="Purab Contractor"/>
    <n v="18"/>
    <x v="0"/>
    <x v="5"/>
    <x v="0"/>
    <x v="418"/>
    <x v="418"/>
    <x v="253"/>
    <x v="199"/>
    <n v="149388"/>
    <x v="3"/>
    <x v="0"/>
    <x v="22"/>
  </r>
  <r>
    <s v="CUST0420"/>
    <s v="Drishya Kata"/>
    <n v="35"/>
    <x v="1"/>
    <x v="0"/>
    <x v="0"/>
    <x v="419"/>
    <x v="419"/>
    <x v="299"/>
    <x v="276"/>
    <n v="223332"/>
    <x v="0"/>
    <x v="0"/>
    <x v="6"/>
  </r>
  <r>
    <s v="CUST0421"/>
    <s v="Pari Kalla"/>
    <n v="42"/>
    <x v="0"/>
    <x v="1"/>
    <x v="1"/>
    <x v="420"/>
    <x v="420"/>
    <x v="300"/>
    <x v="277"/>
    <n v="222172"/>
    <x v="2"/>
    <x v="1"/>
    <x v="3"/>
  </r>
  <r>
    <s v="CUST0422"/>
    <s v="Jiya Yogi"/>
    <n v="38"/>
    <x v="1"/>
    <x v="6"/>
    <x v="2"/>
    <x v="421"/>
    <x v="421"/>
    <x v="301"/>
    <x v="245"/>
    <n v="61579"/>
    <x v="1"/>
    <x v="0"/>
    <x v="19"/>
  </r>
  <r>
    <s v="CUST0423"/>
    <s v="Kavya Sant"/>
    <n v="60"/>
    <x v="1"/>
    <x v="2"/>
    <x v="1"/>
    <x v="422"/>
    <x v="422"/>
    <x v="203"/>
    <x v="278"/>
    <n v="77091"/>
    <x v="3"/>
    <x v="0"/>
    <x v="20"/>
  </r>
  <r>
    <s v="CUST0424"/>
    <s v="Umang Kothari"/>
    <n v="20"/>
    <x v="0"/>
    <x v="3"/>
    <x v="1"/>
    <x v="423"/>
    <x v="423"/>
    <x v="302"/>
    <x v="199"/>
    <n v="172325"/>
    <x v="0"/>
    <x v="1"/>
    <x v="28"/>
  </r>
  <r>
    <s v="CUST0425"/>
    <s v="Indrans Raju"/>
    <n v="66"/>
    <x v="0"/>
    <x v="3"/>
    <x v="1"/>
    <x v="424"/>
    <x v="424"/>
    <x v="227"/>
    <x v="279"/>
    <n v="183874"/>
    <x v="3"/>
    <x v="1"/>
    <x v="24"/>
  </r>
  <r>
    <s v="CUST0426"/>
    <s v="Pihu Loke"/>
    <n v="53"/>
    <x v="1"/>
    <x v="5"/>
    <x v="2"/>
    <x v="425"/>
    <x v="425"/>
    <x v="303"/>
    <x v="132"/>
    <n v="226716"/>
    <x v="1"/>
    <x v="0"/>
    <x v="11"/>
  </r>
  <r>
    <s v="CUST0427"/>
    <s v="Nirvi Bhattacharyya"/>
    <n v="49"/>
    <x v="1"/>
    <x v="5"/>
    <x v="1"/>
    <x v="426"/>
    <x v="426"/>
    <x v="187"/>
    <x v="280"/>
    <n v="205237"/>
    <x v="1"/>
    <x v="0"/>
    <x v="25"/>
  </r>
  <r>
    <s v="CUST0428"/>
    <s v="Ivana Warrior"/>
    <n v="22"/>
    <x v="0"/>
    <x v="0"/>
    <x v="2"/>
    <x v="427"/>
    <x v="427"/>
    <x v="11"/>
    <x v="281"/>
    <n v="159234"/>
    <x v="0"/>
    <x v="1"/>
    <x v="16"/>
  </r>
  <r>
    <s v="CUST0429"/>
    <s v="Zaina Raja"/>
    <n v="67"/>
    <x v="1"/>
    <x v="3"/>
    <x v="3"/>
    <x v="428"/>
    <x v="428"/>
    <x v="304"/>
    <x v="282"/>
    <n v="182581"/>
    <x v="1"/>
    <x v="1"/>
    <x v="16"/>
  </r>
  <r>
    <s v="CUST0430"/>
    <s v="Lakshay Chada"/>
    <n v="59"/>
    <x v="0"/>
    <x v="3"/>
    <x v="0"/>
    <x v="429"/>
    <x v="429"/>
    <x v="305"/>
    <x v="118"/>
    <n v="104416"/>
    <x v="3"/>
    <x v="0"/>
    <x v="30"/>
  </r>
  <r>
    <s v="CUST0431"/>
    <s v="Anvi Dubey"/>
    <n v="49"/>
    <x v="1"/>
    <x v="7"/>
    <x v="3"/>
    <x v="430"/>
    <x v="430"/>
    <x v="306"/>
    <x v="283"/>
    <n v="70231"/>
    <x v="3"/>
    <x v="0"/>
    <x v="36"/>
  </r>
  <r>
    <s v="CUST0432"/>
    <s v="Aarush Mall"/>
    <n v="18"/>
    <x v="0"/>
    <x v="5"/>
    <x v="1"/>
    <x v="431"/>
    <x v="431"/>
    <x v="294"/>
    <x v="81"/>
    <n v="74719"/>
    <x v="1"/>
    <x v="0"/>
    <x v="39"/>
  </r>
  <r>
    <s v="CUST0433"/>
    <s v="Shanaya Korpal"/>
    <n v="70"/>
    <x v="0"/>
    <x v="2"/>
    <x v="0"/>
    <x v="432"/>
    <x v="432"/>
    <x v="16"/>
    <x v="284"/>
    <n v="181725"/>
    <x v="3"/>
    <x v="1"/>
    <x v="4"/>
  </r>
  <r>
    <s v="CUST0434"/>
    <s v="Kimaya Bhattacharyya"/>
    <n v="30"/>
    <x v="1"/>
    <x v="2"/>
    <x v="3"/>
    <x v="433"/>
    <x v="433"/>
    <x v="307"/>
    <x v="102"/>
    <n v="70625"/>
    <x v="2"/>
    <x v="1"/>
    <x v="8"/>
  </r>
  <r>
    <s v="CUST0435"/>
    <s v="Anay Upadhyay"/>
    <n v="24"/>
    <x v="1"/>
    <x v="5"/>
    <x v="3"/>
    <x v="434"/>
    <x v="434"/>
    <x v="308"/>
    <x v="191"/>
    <n v="63728"/>
    <x v="1"/>
    <x v="1"/>
    <x v="1"/>
  </r>
  <r>
    <s v="CUST0436"/>
    <s v="Hazel Warrior"/>
    <n v="44"/>
    <x v="0"/>
    <x v="0"/>
    <x v="3"/>
    <x v="435"/>
    <x v="435"/>
    <x v="309"/>
    <x v="285"/>
    <n v="220326"/>
    <x v="1"/>
    <x v="1"/>
    <x v="13"/>
  </r>
  <r>
    <s v="CUST0437"/>
    <s v="Aaryahi Ramakrishnan"/>
    <n v="46"/>
    <x v="0"/>
    <x v="6"/>
    <x v="0"/>
    <x v="436"/>
    <x v="436"/>
    <x v="113"/>
    <x v="286"/>
    <n v="124094"/>
    <x v="1"/>
    <x v="0"/>
    <x v="20"/>
  </r>
  <r>
    <s v="CUST0438"/>
    <s v="Priyansh Seshadri"/>
    <n v="31"/>
    <x v="0"/>
    <x v="2"/>
    <x v="0"/>
    <x v="437"/>
    <x v="437"/>
    <x v="310"/>
    <x v="12"/>
    <n v="244321"/>
    <x v="2"/>
    <x v="1"/>
    <x v="33"/>
  </r>
  <r>
    <s v="CUST0439"/>
    <s v="Tarini Edwin"/>
    <n v="27"/>
    <x v="1"/>
    <x v="2"/>
    <x v="1"/>
    <x v="438"/>
    <x v="438"/>
    <x v="311"/>
    <x v="287"/>
    <n v="56282"/>
    <x v="3"/>
    <x v="0"/>
    <x v="13"/>
  </r>
  <r>
    <s v="CUST0440"/>
    <s v="Keya Gala"/>
    <n v="64"/>
    <x v="1"/>
    <x v="7"/>
    <x v="1"/>
    <x v="439"/>
    <x v="439"/>
    <x v="312"/>
    <x v="282"/>
    <n v="105116"/>
    <x v="0"/>
    <x v="0"/>
    <x v="6"/>
  </r>
  <r>
    <s v="CUST0441"/>
    <s v="Nirvi Kade"/>
    <n v="67"/>
    <x v="0"/>
    <x v="7"/>
    <x v="1"/>
    <x v="440"/>
    <x v="440"/>
    <x v="313"/>
    <x v="288"/>
    <n v="107658"/>
    <x v="0"/>
    <x v="1"/>
    <x v="7"/>
  </r>
  <r>
    <s v="CUST0442"/>
    <s v="Kashvi Hans"/>
    <n v="51"/>
    <x v="0"/>
    <x v="7"/>
    <x v="1"/>
    <x v="441"/>
    <x v="441"/>
    <x v="212"/>
    <x v="242"/>
    <n v="30795"/>
    <x v="2"/>
    <x v="0"/>
    <x v="32"/>
  </r>
  <r>
    <s v="CUST0443"/>
    <s v="Alisha Sura"/>
    <n v="32"/>
    <x v="0"/>
    <x v="0"/>
    <x v="3"/>
    <x v="442"/>
    <x v="442"/>
    <x v="236"/>
    <x v="191"/>
    <n v="133229"/>
    <x v="0"/>
    <x v="1"/>
    <x v="10"/>
  </r>
  <r>
    <s v="CUST0444"/>
    <s v="Reyansh Devi"/>
    <n v="50"/>
    <x v="1"/>
    <x v="0"/>
    <x v="2"/>
    <x v="443"/>
    <x v="443"/>
    <x v="314"/>
    <x v="289"/>
    <n v="133899"/>
    <x v="3"/>
    <x v="0"/>
    <x v="33"/>
  </r>
  <r>
    <s v="CUST0445"/>
    <s v="Ayesha Tiwari"/>
    <n v="22"/>
    <x v="1"/>
    <x v="0"/>
    <x v="3"/>
    <x v="444"/>
    <x v="444"/>
    <x v="103"/>
    <x v="96"/>
    <n v="89797"/>
    <x v="1"/>
    <x v="0"/>
    <x v="19"/>
  </r>
  <r>
    <s v="CUST0446"/>
    <s v="Nishith Reddy"/>
    <n v="38"/>
    <x v="1"/>
    <x v="3"/>
    <x v="1"/>
    <x v="445"/>
    <x v="445"/>
    <x v="315"/>
    <x v="290"/>
    <n v="110315"/>
    <x v="0"/>
    <x v="0"/>
    <x v="35"/>
  </r>
  <r>
    <s v="CUST0447"/>
    <s v="Indranil Rege"/>
    <n v="30"/>
    <x v="0"/>
    <x v="3"/>
    <x v="3"/>
    <x v="446"/>
    <x v="446"/>
    <x v="120"/>
    <x v="291"/>
    <n v="199662"/>
    <x v="0"/>
    <x v="1"/>
    <x v="8"/>
  </r>
  <r>
    <s v="CUST0448"/>
    <s v="Mohanlal Bassi"/>
    <n v="62"/>
    <x v="0"/>
    <x v="1"/>
    <x v="3"/>
    <x v="447"/>
    <x v="447"/>
    <x v="316"/>
    <x v="292"/>
    <n v="230837"/>
    <x v="2"/>
    <x v="0"/>
    <x v="11"/>
  </r>
  <r>
    <s v="CUST0449"/>
    <s v="Divij Sem"/>
    <n v="62"/>
    <x v="0"/>
    <x v="6"/>
    <x v="2"/>
    <x v="448"/>
    <x v="448"/>
    <x v="110"/>
    <x v="118"/>
    <n v="203174"/>
    <x v="1"/>
    <x v="0"/>
    <x v="13"/>
  </r>
  <r>
    <s v="CUST0450"/>
    <s v="Alisha Savant"/>
    <n v="47"/>
    <x v="1"/>
    <x v="2"/>
    <x v="0"/>
    <x v="449"/>
    <x v="449"/>
    <x v="170"/>
    <x v="293"/>
    <n v="191640"/>
    <x v="1"/>
    <x v="1"/>
    <x v="40"/>
  </r>
  <r>
    <s v="CUST0451"/>
    <s v="Drishya Cheema"/>
    <n v="32"/>
    <x v="0"/>
    <x v="3"/>
    <x v="2"/>
    <x v="450"/>
    <x v="450"/>
    <x v="317"/>
    <x v="294"/>
    <n v="119798"/>
    <x v="2"/>
    <x v="0"/>
    <x v="7"/>
  </r>
  <r>
    <s v="CUST0452"/>
    <s v="Saira Kala"/>
    <n v="20"/>
    <x v="0"/>
    <x v="5"/>
    <x v="3"/>
    <x v="451"/>
    <x v="451"/>
    <x v="187"/>
    <x v="295"/>
    <n v="84852"/>
    <x v="1"/>
    <x v="1"/>
    <x v="8"/>
  </r>
  <r>
    <s v="CUST0453"/>
    <s v="Vedika Ratta"/>
    <n v="33"/>
    <x v="0"/>
    <x v="6"/>
    <x v="2"/>
    <x v="452"/>
    <x v="452"/>
    <x v="290"/>
    <x v="296"/>
    <n v="151400"/>
    <x v="3"/>
    <x v="1"/>
    <x v="16"/>
  </r>
  <r>
    <s v="CUST0454"/>
    <s v="Krish Tata"/>
    <n v="43"/>
    <x v="0"/>
    <x v="0"/>
    <x v="2"/>
    <x v="453"/>
    <x v="453"/>
    <x v="92"/>
    <x v="250"/>
    <n v="192210"/>
    <x v="3"/>
    <x v="1"/>
    <x v="5"/>
  </r>
  <r>
    <s v="CUST0455"/>
    <s v="Jhanvi Banik"/>
    <n v="37"/>
    <x v="0"/>
    <x v="3"/>
    <x v="3"/>
    <x v="454"/>
    <x v="454"/>
    <x v="318"/>
    <x v="297"/>
    <n v="178693"/>
    <x v="3"/>
    <x v="1"/>
    <x v="29"/>
  </r>
  <r>
    <s v="CUST0456"/>
    <s v="Shanaya Bhatnagar"/>
    <n v="67"/>
    <x v="0"/>
    <x v="3"/>
    <x v="3"/>
    <x v="455"/>
    <x v="455"/>
    <x v="206"/>
    <x v="167"/>
    <n v="58050"/>
    <x v="3"/>
    <x v="0"/>
    <x v="10"/>
  </r>
  <r>
    <s v="CUST0457"/>
    <s v="Jayan Kant"/>
    <n v="66"/>
    <x v="1"/>
    <x v="3"/>
    <x v="2"/>
    <x v="456"/>
    <x v="456"/>
    <x v="192"/>
    <x v="298"/>
    <n v="103542"/>
    <x v="0"/>
    <x v="0"/>
    <x v="3"/>
  </r>
  <r>
    <s v="CUST0458"/>
    <s v="Prerak Chawla"/>
    <n v="29"/>
    <x v="0"/>
    <x v="1"/>
    <x v="2"/>
    <x v="457"/>
    <x v="457"/>
    <x v="319"/>
    <x v="138"/>
    <n v="26867"/>
    <x v="0"/>
    <x v="1"/>
    <x v="25"/>
  </r>
  <r>
    <s v="CUST0459"/>
    <s v="Vidur Seshadri"/>
    <n v="23"/>
    <x v="0"/>
    <x v="0"/>
    <x v="1"/>
    <x v="458"/>
    <x v="458"/>
    <x v="117"/>
    <x v="201"/>
    <n v="200392"/>
    <x v="2"/>
    <x v="0"/>
    <x v="1"/>
  </r>
  <r>
    <s v="CUST0460"/>
    <s v="Rhea Chokshi"/>
    <n v="28"/>
    <x v="1"/>
    <x v="1"/>
    <x v="2"/>
    <x v="459"/>
    <x v="459"/>
    <x v="161"/>
    <x v="217"/>
    <n v="70661"/>
    <x v="3"/>
    <x v="0"/>
    <x v="17"/>
  </r>
  <r>
    <s v="CUST0461"/>
    <s v="Madhup Gour"/>
    <n v="29"/>
    <x v="0"/>
    <x v="0"/>
    <x v="1"/>
    <x v="460"/>
    <x v="460"/>
    <x v="320"/>
    <x v="299"/>
    <n v="135155"/>
    <x v="0"/>
    <x v="1"/>
    <x v="3"/>
  </r>
  <r>
    <s v="CUST0462"/>
    <s v="Vardaniya Roy"/>
    <n v="64"/>
    <x v="0"/>
    <x v="2"/>
    <x v="1"/>
    <x v="461"/>
    <x v="461"/>
    <x v="208"/>
    <x v="22"/>
    <n v="102024"/>
    <x v="2"/>
    <x v="0"/>
    <x v="24"/>
  </r>
  <r>
    <s v="CUST0463"/>
    <s v="Kabir Barman"/>
    <n v="33"/>
    <x v="0"/>
    <x v="1"/>
    <x v="3"/>
    <x v="462"/>
    <x v="462"/>
    <x v="29"/>
    <x v="102"/>
    <n v="155974"/>
    <x v="2"/>
    <x v="1"/>
    <x v="16"/>
  </r>
  <r>
    <s v="CUST0464"/>
    <s v="Emir Ganesh"/>
    <n v="37"/>
    <x v="0"/>
    <x v="3"/>
    <x v="1"/>
    <x v="463"/>
    <x v="463"/>
    <x v="260"/>
    <x v="121"/>
    <n v="222814"/>
    <x v="2"/>
    <x v="0"/>
    <x v="26"/>
  </r>
  <r>
    <s v="CUST0465"/>
    <s v="Amira Chada"/>
    <n v="64"/>
    <x v="1"/>
    <x v="4"/>
    <x v="0"/>
    <x v="464"/>
    <x v="464"/>
    <x v="264"/>
    <x v="183"/>
    <n v="151244"/>
    <x v="3"/>
    <x v="1"/>
    <x v="21"/>
  </r>
  <r>
    <s v="CUST0466"/>
    <s v="Vanya Ravel"/>
    <n v="55"/>
    <x v="0"/>
    <x v="2"/>
    <x v="0"/>
    <x v="465"/>
    <x v="465"/>
    <x v="107"/>
    <x v="300"/>
    <n v="206812"/>
    <x v="0"/>
    <x v="1"/>
    <x v="27"/>
  </r>
  <r>
    <s v="CUST0467"/>
    <s v="Raghav Walla"/>
    <n v="58"/>
    <x v="1"/>
    <x v="0"/>
    <x v="0"/>
    <x v="466"/>
    <x v="466"/>
    <x v="188"/>
    <x v="301"/>
    <n v="115143"/>
    <x v="3"/>
    <x v="1"/>
    <x v="34"/>
  </r>
  <r>
    <s v="CUST0468"/>
    <s v="Bhavin Chadha"/>
    <n v="54"/>
    <x v="0"/>
    <x v="0"/>
    <x v="3"/>
    <x v="467"/>
    <x v="467"/>
    <x v="321"/>
    <x v="198"/>
    <n v="248407"/>
    <x v="1"/>
    <x v="1"/>
    <x v="28"/>
  </r>
  <r>
    <s v="CUST0469"/>
    <s v="Vanya Kamdar"/>
    <n v="36"/>
    <x v="1"/>
    <x v="7"/>
    <x v="1"/>
    <x v="468"/>
    <x v="468"/>
    <x v="322"/>
    <x v="302"/>
    <n v="184220"/>
    <x v="2"/>
    <x v="1"/>
    <x v="26"/>
  </r>
  <r>
    <s v="CUST0470"/>
    <s v="Darshit Kari"/>
    <n v="52"/>
    <x v="1"/>
    <x v="4"/>
    <x v="1"/>
    <x v="469"/>
    <x v="469"/>
    <x v="323"/>
    <x v="246"/>
    <n v="231669"/>
    <x v="2"/>
    <x v="0"/>
    <x v="12"/>
  </r>
  <r>
    <s v="CUST0471"/>
    <s v="Samar Thaman"/>
    <n v="56"/>
    <x v="0"/>
    <x v="7"/>
    <x v="2"/>
    <x v="470"/>
    <x v="470"/>
    <x v="2"/>
    <x v="303"/>
    <n v="177313"/>
    <x v="3"/>
    <x v="0"/>
    <x v="26"/>
  </r>
  <r>
    <s v="CUST0472"/>
    <s v="Mamooty Srinivas"/>
    <n v="59"/>
    <x v="1"/>
    <x v="2"/>
    <x v="0"/>
    <x v="471"/>
    <x v="471"/>
    <x v="324"/>
    <x v="304"/>
    <n v="111493"/>
    <x v="0"/>
    <x v="1"/>
    <x v="12"/>
  </r>
  <r>
    <s v="CUST0473"/>
    <s v="Hazel Chokshi"/>
    <n v="29"/>
    <x v="1"/>
    <x v="5"/>
    <x v="0"/>
    <x v="472"/>
    <x v="472"/>
    <x v="325"/>
    <x v="305"/>
    <n v="62293"/>
    <x v="0"/>
    <x v="1"/>
    <x v="33"/>
  </r>
  <r>
    <s v="CUST0474"/>
    <s v="Samiha Dugal"/>
    <n v="38"/>
    <x v="1"/>
    <x v="4"/>
    <x v="2"/>
    <x v="473"/>
    <x v="473"/>
    <x v="326"/>
    <x v="306"/>
    <n v="116618"/>
    <x v="0"/>
    <x v="1"/>
    <x v="33"/>
  </r>
  <r>
    <s v="CUST0475"/>
    <s v="Tushar Wagle"/>
    <n v="39"/>
    <x v="0"/>
    <x v="4"/>
    <x v="3"/>
    <x v="474"/>
    <x v="474"/>
    <x v="327"/>
    <x v="301"/>
    <n v="158163"/>
    <x v="2"/>
    <x v="1"/>
    <x v="15"/>
  </r>
  <r>
    <s v="CUST0476"/>
    <s v="Dharmajan Bava"/>
    <n v="34"/>
    <x v="1"/>
    <x v="4"/>
    <x v="2"/>
    <x v="475"/>
    <x v="475"/>
    <x v="328"/>
    <x v="99"/>
    <n v="157728"/>
    <x v="3"/>
    <x v="1"/>
    <x v="25"/>
  </r>
  <r>
    <s v="CUST0477"/>
    <s v="Keya Kala"/>
    <n v="30"/>
    <x v="1"/>
    <x v="0"/>
    <x v="0"/>
    <x v="476"/>
    <x v="476"/>
    <x v="329"/>
    <x v="148"/>
    <n v="20414"/>
    <x v="1"/>
    <x v="1"/>
    <x v="40"/>
  </r>
  <r>
    <s v="CUST0478"/>
    <s v="Yashvi Choudhury"/>
    <n v="53"/>
    <x v="0"/>
    <x v="6"/>
    <x v="3"/>
    <x v="477"/>
    <x v="477"/>
    <x v="122"/>
    <x v="149"/>
    <n v="231299"/>
    <x v="1"/>
    <x v="0"/>
    <x v="17"/>
  </r>
  <r>
    <s v="CUST0479"/>
    <s v="Priyansh Dhar"/>
    <n v="25"/>
    <x v="0"/>
    <x v="1"/>
    <x v="3"/>
    <x v="478"/>
    <x v="478"/>
    <x v="65"/>
    <x v="35"/>
    <n v="199787"/>
    <x v="1"/>
    <x v="1"/>
    <x v="34"/>
  </r>
  <r>
    <s v="CUST0480"/>
    <s v="Pihu Dyal"/>
    <n v="48"/>
    <x v="1"/>
    <x v="4"/>
    <x v="1"/>
    <x v="479"/>
    <x v="479"/>
    <x v="330"/>
    <x v="79"/>
    <n v="228995"/>
    <x v="0"/>
    <x v="1"/>
    <x v="3"/>
  </r>
  <r>
    <s v="CUST0481"/>
    <s v="Ranbir Bava"/>
    <n v="54"/>
    <x v="1"/>
    <x v="5"/>
    <x v="0"/>
    <x v="480"/>
    <x v="480"/>
    <x v="331"/>
    <x v="88"/>
    <n v="210045"/>
    <x v="3"/>
    <x v="1"/>
    <x v="25"/>
  </r>
  <r>
    <s v="CUST0482"/>
    <s v="Kavya Halder"/>
    <n v="19"/>
    <x v="0"/>
    <x v="2"/>
    <x v="3"/>
    <x v="481"/>
    <x v="481"/>
    <x v="332"/>
    <x v="307"/>
    <n v="108906"/>
    <x v="1"/>
    <x v="0"/>
    <x v="12"/>
  </r>
  <r>
    <s v="CUST0483"/>
    <s v="Nirvi Thaker"/>
    <n v="35"/>
    <x v="1"/>
    <x v="1"/>
    <x v="3"/>
    <x v="482"/>
    <x v="482"/>
    <x v="333"/>
    <x v="308"/>
    <n v="128493"/>
    <x v="3"/>
    <x v="0"/>
    <x v="30"/>
  </r>
  <r>
    <s v="CUST0484"/>
    <s v="Charvi Yadav"/>
    <n v="41"/>
    <x v="1"/>
    <x v="3"/>
    <x v="2"/>
    <x v="483"/>
    <x v="483"/>
    <x v="334"/>
    <x v="309"/>
    <n v="225768"/>
    <x v="1"/>
    <x v="1"/>
    <x v="36"/>
  </r>
  <r>
    <s v="CUST0485"/>
    <s v="Ivan Batra"/>
    <n v="64"/>
    <x v="0"/>
    <x v="1"/>
    <x v="0"/>
    <x v="484"/>
    <x v="484"/>
    <x v="335"/>
    <x v="310"/>
    <n v="249082"/>
    <x v="2"/>
    <x v="1"/>
    <x v="7"/>
  </r>
  <r>
    <s v="CUST0486"/>
    <s v="Samar Doshi"/>
    <n v="63"/>
    <x v="0"/>
    <x v="5"/>
    <x v="1"/>
    <x v="485"/>
    <x v="485"/>
    <x v="182"/>
    <x v="86"/>
    <n v="246704"/>
    <x v="0"/>
    <x v="0"/>
    <x v="40"/>
  </r>
  <r>
    <s v="CUST0487"/>
    <s v="Amani Sankar"/>
    <n v="51"/>
    <x v="0"/>
    <x v="5"/>
    <x v="2"/>
    <x v="486"/>
    <x v="486"/>
    <x v="324"/>
    <x v="221"/>
    <n v="220849"/>
    <x v="3"/>
    <x v="1"/>
    <x v="4"/>
  </r>
  <r>
    <s v="CUST0488"/>
    <s v="Aradhya Karan"/>
    <n v="35"/>
    <x v="1"/>
    <x v="2"/>
    <x v="0"/>
    <x v="487"/>
    <x v="487"/>
    <x v="329"/>
    <x v="196"/>
    <n v="159532"/>
    <x v="0"/>
    <x v="0"/>
    <x v="29"/>
  </r>
  <r>
    <s v="CUST0489"/>
    <s v="Ranbir Aurora"/>
    <n v="52"/>
    <x v="0"/>
    <x v="6"/>
    <x v="3"/>
    <x v="488"/>
    <x v="488"/>
    <x v="101"/>
    <x v="311"/>
    <n v="111833"/>
    <x v="2"/>
    <x v="0"/>
    <x v="13"/>
  </r>
  <r>
    <s v="CUST0490"/>
    <s v="Jayesh Wali"/>
    <n v="26"/>
    <x v="1"/>
    <x v="0"/>
    <x v="2"/>
    <x v="489"/>
    <x v="489"/>
    <x v="336"/>
    <x v="312"/>
    <n v="27600"/>
    <x v="2"/>
    <x v="1"/>
    <x v="15"/>
  </r>
  <r>
    <s v="CUST0491"/>
    <s v="Taran Ramachandran"/>
    <n v="37"/>
    <x v="1"/>
    <x v="3"/>
    <x v="0"/>
    <x v="490"/>
    <x v="490"/>
    <x v="337"/>
    <x v="273"/>
    <n v="107118"/>
    <x v="2"/>
    <x v="0"/>
    <x v="38"/>
  </r>
  <r>
    <s v="CUST0492"/>
    <s v="Sana Sethi"/>
    <n v="47"/>
    <x v="0"/>
    <x v="3"/>
    <x v="3"/>
    <x v="491"/>
    <x v="491"/>
    <x v="37"/>
    <x v="313"/>
    <n v="101367"/>
    <x v="1"/>
    <x v="1"/>
    <x v="2"/>
  </r>
  <r>
    <s v="CUST0493"/>
    <s v="Vivaan Saha"/>
    <n v="29"/>
    <x v="0"/>
    <x v="4"/>
    <x v="0"/>
    <x v="492"/>
    <x v="492"/>
    <x v="320"/>
    <x v="131"/>
    <n v="203399"/>
    <x v="1"/>
    <x v="1"/>
    <x v="36"/>
  </r>
  <r>
    <s v="CUST0494"/>
    <s v="Manjari Ramanathan"/>
    <n v="47"/>
    <x v="1"/>
    <x v="2"/>
    <x v="3"/>
    <x v="493"/>
    <x v="493"/>
    <x v="287"/>
    <x v="228"/>
    <n v="241712"/>
    <x v="0"/>
    <x v="1"/>
    <x v="36"/>
  </r>
  <r>
    <s v="CUST0495"/>
    <s v="Aarav Ganesh"/>
    <n v="52"/>
    <x v="1"/>
    <x v="0"/>
    <x v="0"/>
    <x v="494"/>
    <x v="494"/>
    <x v="275"/>
    <x v="239"/>
    <n v="140841"/>
    <x v="1"/>
    <x v="0"/>
    <x v="29"/>
  </r>
  <r>
    <s v="CUST0496"/>
    <s v="Taimur Ratti"/>
    <n v="70"/>
    <x v="0"/>
    <x v="3"/>
    <x v="0"/>
    <x v="495"/>
    <x v="495"/>
    <x v="338"/>
    <x v="314"/>
    <n v="201943"/>
    <x v="2"/>
    <x v="0"/>
    <x v="28"/>
  </r>
  <r>
    <s v="CUST0497"/>
    <s v="Mamooty Sant"/>
    <n v="55"/>
    <x v="1"/>
    <x v="2"/>
    <x v="0"/>
    <x v="496"/>
    <x v="496"/>
    <x v="295"/>
    <x v="270"/>
    <n v="176257"/>
    <x v="2"/>
    <x v="1"/>
    <x v="4"/>
  </r>
  <r>
    <s v="CUST0498"/>
    <s v="Divit Keer"/>
    <n v="49"/>
    <x v="0"/>
    <x v="3"/>
    <x v="2"/>
    <x v="497"/>
    <x v="497"/>
    <x v="273"/>
    <x v="315"/>
    <n v="189080"/>
    <x v="2"/>
    <x v="1"/>
    <x v="25"/>
  </r>
  <r>
    <s v="CUST0499"/>
    <s v="Madhup Deshmukh"/>
    <n v="42"/>
    <x v="1"/>
    <x v="0"/>
    <x v="3"/>
    <x v="498"/>
    <x v="498"/>
    <x v="339"/>
    <x v="220"/>
    <n v="181368"/>
    <x v="0"/>
    <x v="0"/>
    <x v="25"/>
  </r>
  <r>
    <s v="CUST0500"/>
    <s v="Arnav Tiwari"/>
    <n v="57"/>
    <x v="0"/>
    <x v="7"/>
    <x v="3"/>
    <x v="499"/>
    <x v="499"/>
    <x v="340"/>
    <x v="151"/>
    <n v="153804"/>
    <x v="0"/>
    <x v="1"/>
    <x v="16"/>
  </r>
  <r>
    <s v="CUST0501"/>
    <s v="Sara Trivedi"/>
    <n v="19"/>
    <x v="1"/>
    <x v="0"/>
    <x v="2"/>
    <x v="500"/>
    <x v="500"/>
    <x v="341"/>
    <x v="201"/>
    <n v="81667"/>
    <x v="3"/>
    <x v="1"/>
    <x v="16"/>
  </r>
  <r>
    <s v="CUST0502"/>
    <s v="Rasha Bhat"/>
    <n v="26"/>
    <x v="1"/>
    <x v="3"/>
    <x v="2"/>
    <x v="501"/>
    <x v="501"/>
    <x v="249"/>
    <x v="316"/>
    <n v="69342"/>
    <x v="0"/>
    <x v="0"/>
    <x v="14"/>
  </r>
  <r>
    <s v="CUST0503"/>
    <s v="Adira Sen"/>
    <n v="59"/>
    <x v="1"/>
    <x v="4"/>
    <x v="1"/>
    <x v="502"/>
    <x v="502"/>
    <x v="342"/>
    <x v="183"/>
    <n v="24117"/>
    <x v="3"/>
    <x v="1"/>
    <x v="10"/>
  </r>
  <r>
    <s v="CUST0504"/>
    <s v="Jayant Barman"/>
    <n v="50"/>
    <x v="0"/>
    <x v="4"/>
    <x v="2"/>
    <x v="503"/>
    <x v="503"/>
    <x v="5"/>
    <x v="105"/>
    <n v="131181"/>
    <x v="1"/>
    <x v="1"/>
    <x v="31"/>
  </r>
  <r>
    <s v="CUST0505"/>
    <s v="Alia Sharaf"/>
    <n v="52"/>
    <x v="0"/>
    <x v="4"/>
    <x v="0"/>
    <x v="504"/>
    <x v="504"/>
    <x v="343"/>
    <x v="176"/>
    <n v="171087"/>
    <x v="3"/>
    <x v="1"/>
    <x v="32"/>
  </r>
  <r>
    <s v="CUST0506"/>
    <s v="Kismat Dass"/>
    <n v="47"/>
    <x v="0"/>
    <x v="6"/>
    <x v="0"/>
    <x v="505"/>
    <x v="505"/>
    <x v="282"/>
    <x v="153"/>
    <n v="155515"/>
    <x v="1"/>
    <x v="0"/>
    <x v="22"/>
  </r>
  <r>
    <s v="CUST0507"/>
    <s v="Jivin Ramakrishnan"/>
    <n v="48"/>
    <x v="1"/>
    <x v="6"/>
    <x v="2"/>
    <x v="506"/>
    <x v="506"/>
    <x v="223"/>
    <x v="317"/>
    <n v="139022"/>
    <x v="0"/>
    <x v="1"/>
    <x v="18"/>
  </r>
  <r>
    <s v="CUST0508"/>
    <s v="Tarini Chowdhury"/>
    <n v="64"/>
    <x v="0"/>
    <x v="6"/>
    <x v="0"/>
    <x v="507"/>
    <x v="507"/>
    <x v="255"/>
    <x v="318"/>
    <n v="225788"/>
    <x v="1"/>
    <x v="1"/>
    <x v="31"/>
  </r>
  <r>
    <s v="CUST0509"/>
    <s v="Kiara Reddy"/>
    <n v="23"/>
    <x v="1"/>
    <x v="6"/>
    <x v="3"/>
    <x v="508"/>
    <x v="508"/>
    <x v="2"/>
    <x v="46"/>
    <n v="53245"/>
    <x v="0"/>
    <x v="0"/>
    <x v="19"/>
  </r>
  <r>
    <s v="CUST0510"/>
    <s v="Oorja Chaudhary"/>
    <n v="56"/>
    <x v="1"/>
    <x v="1"/>
    <x v="1"/>
    <x v="509"/>
    <x v="509"/>
    <x v="291"/>
    <x v="213"/>
    <n v="65773"/>
    <x v="3"/>
    <x v="0"/>
    <x v="39"/>
  </r>
  <r>
    <s v="CUST0511"/>
    <s v="Damini Korpal"/>
    <n v="39"/>
    <x v="1"/>
    <x v="0"/>
    <x v="2"/>
    <x v="510"/>
    <x v="510"/>
    <x v="227"/>
    <x v="319"/>
    <n v="42125"/>
    <x v="2"/>
    <x v="0"/>
    <x v="36"/>
  </r>
  <r>
    <s v="CUST0512"/>
    <s v="Raghav Iyer"/>
    <n v="31"/>
    <x v="0"/>
    <x v="3"/>
    <x v="1"/>
    <x v="511"/>
    <x v="511"/>
    <x v="137"/>
    <x v="137"/>
    <n v="171455"/>
    <x v="2"/>
    <x v="1"/>
    <x v="30"/>
  </r>
  <r>
    <s v="CUST0513"/>
    <s v="Samaira Sahota"/>
    <n v="37"/>
    <x v="1"/>
    <x v="4"/>
    <x v="3"/>
    <x v="512"/>
    <x v="512"/>
    <x v="102"/>
    <x v="287"/>
    <n v="144850"/>
    <x v="3"/>
    <x v="1"/>
    <x v="16"/>
  </r>
  <r>
    <s v="CUST0514"/>
    <s v="Hansh Tailor"/>
    <n v="18"/>
    <x v="0"/>
    <x v="2"/>
    <x v="3"/>
    <x v="513"/>
    <x v="513"/>
    <x v="317"/>
    <x v="320"/>
    <n v="95705"/>
    <x v="2"/>
    <x v="1"/>
    <x v="24"/>
  </r>
  <r>
    <s v="CUST0515"/>
    <s v="Bhamini Barad"/>
    <n v="39"/>
    <x v="0"/>
    <x v="1"/>
    <x v="3"/>
    <x v="514"/>
    <x v="514"/>
    <x v="8"/>
    <x v="321"/>
    <n v="90864"/>
    <x v="3"/>
    <x v="1"/>
    <x v="3"/>
  </r>
  <r>
    <s v="CUST0516"/>
    <s v="Lavanya Sahota"/>
    <n v="53"/>
    <x v="0"/>
    <x v="4"/>
    <x v="3"/>
    <x v="515"/>
    <x v="515"/>
    <x v="344"/>
    <x v="142"/>
    <n v="22772"/>
    <x v="3"/>
    <x v="1"/>
    <x v="23"/>
  </r>
  <r>
    <s v="CUST0517"/>
    <s v="Nitya Shenoy"/>
    <n v="34"/>
    <x v="0"/>
    <x v="2"/>
    <x v="0"/>
    <x v="516"/>
    <x v="516"/>
    <x v="283"/>
    <x v="258"/>
    <n v="70614"/>
    <x v="0"/>
    <x v="0"/>
    <x v="12"/>
  </r>
  <r>
    <s v="CUST0518"/>
    <s v="Mamooty Viswanathan"/>
    <n v="42"/>
    <x v="0"/>
    <x v="6"/>
    <x v="3"/>
    <x v="517"/>
    <x v="517"/>
    <x v="148"/>
    <x v="322"/>
    <n v="192069"/>
    <x v="2"/>
    <x v="0"/>
    <x v="23"/>
  </r>
  <r>
    <s v="CUST0519"/>
    <s v="Siya Kunda"/>
    <n v="58"/>
    <x v="1"/>
    <x v="6"/>
    <x v="2"/>
    <x v="518"/>
    <x v="518"/>
    <x v="326"/>
    <x v="323"/>
    <n v="138867"/>
    <x v="0"/>
    <x v="1"/>
    <x v="6"/>
  </r>
  <r>
    <s v="CUST0520"/>
    <s v="Nirvi Chhabra"/>
    <n v="67"/>
    <x v="1"/>
    <x v="3"/>
    <x v="1"/>
    <x v="519"/>
    <x v="519"/>
    <x v="154"/>
    <x v="324"/>
    <n v="36354"/>
    <x v="0"/>
    <x v="1"/>
    <x v="34"/>
  </r>
  <r>
    <s v="CUST0521"/>
    <s v="Drishya Master"/>
    <n v="30"/>
    <x v="1"/>
    <x v="1"/>
    <x v="0"/>
    <x v="520"/>
    <x v="520"/>
    <x v="18"/>
    <x v="325"/>
    <n v="179986"/>
    <x v="2"/>
    <x v="1"/>
    <x v="33"/>
  </r>
  <r>
    <s v="CUST0522"/>
    <s v="Hridaan Gaba"/>
    <n v="24"/>
    <x v="1"/>
    <x v="3"/>
    <x v="0"/>
    <x v="521"/>
    <x v="521"/>
    <x v="345"/>
    <x v="326"/>
    <n v="29138"/>
    <x v="0"/>
    <x v="1"/>
    <x v="3"/>
  </r>
  <r>
    <s v="CUST0523"/>
    <s v="Reyansh Chawla"/>
    <n v="35"/>
    <x v="1"/>
    <x v="4"/>
    <x v="1"/>
    <x v="522"/>
    <x v="522"/>
    <x v="287"/>
    <x v="302"/>
    <n v="59742"/>
    <x v="2"/>
    <x v="0"/>
    <x v="24"/>
  </r>
  <r>
    <s v="CUST0524"/>
    <s v="Nirvaan Contractor"/>
    <n v="52"/>
    <x v="1"/>
    <x v="5"/>
    <x v="3"/>
    <x v="523"/>
    <x v="523"/>
    <x v="346"/>
    <x v="327"/>
    <n v="79204"/>
    <x v="2"/>
    <x v="0"/>
    <x v="25"/>
  </r>
  <r>
    <s v="CUST0525"/>
    <s v="Diya Chawla"/>
    <n v="58"/>
    <x v="1"/>
    <x v="1"/>
    <x v="2"/>
    <x v="524"/>
    <x v="524"/>
    <x v="347"/>
    <x v="41"/>
    <n v="189626"/>
    <x v="0"/>
    <x v="1"/>
    <x v="40"/>
  </r>
  <r>
    <s v="CUST0526"/>
    <s v="Shanaya Khatri"/>
    <n v="60"/>
    <x v="1"/>
    <x v="2"/>
    <x v="1"/>
    <x v="525"/>
    <x v="525"/>
    <x v="40"/>
    <x v="178"/>
    <n v="70070"/>
    <x v="3"/>
    <x v="0"/>
    <x v="32"/>
  </r>
  <r>
    <s v="CUST0527"/>
    <s v="Anay Rout"/>
    <n v="20"/>
    <x v="1"/>
    <x v="4"/>
    <x v="1"/>
    <x v="526"/>
    <x v="526"/>
    <x v="348"/>
    <x v="188"/>
    <n v="70618"/>
    <x v="0"/>
    <x v="0"/>
    <x v="21"/>
  </r>
  <r>
    <s v="CUST0528"/>
    <s v="Seher Swamy"/>
    <n v="39"/>
    <x v="1"/>
    <x v="3"/>
    <x v="2"/>
    <x v="527"/>
    <x v="527"/>
    <x v="276"/>
    <x v="152"/>
    <n v="34694"/>
    <x v="0"/>
    <x v="0"/>
    <x v="11"/>
  </r>
  <r>
    <s v="CUST0529"/>
    <s v="Amira Bains"/>
    <n v="65"/>
    <x v="0"/>
    <x v="7"/>
    <x v="2"/>
    <x v="528"/>
    <x v="528"/>
    <x v="244"/>
    <x v="328"/>
    <n v="57117"/>
    <x v="0"/>
    <x v="1"/>
    <x v="32"/>
  </r>
  <r>
    <s v="CUST0530"/>
    <s v="Riaan Atwal"/>
    <n v="70"/>
    <x v="0"/>
    <x v="4"/>
    <x v="2"/>
    <x v="529"/>
    <x v="529"/>
    <x v="349"/>
    <x v="110"/>
    <n v="228062"/>
    <x v="0"/>
    <x v="0"/>
    <x v="30"/>
  </r>
  <r>
    <s v="CUST0531"/>
    <s v="Dhruv Hans"/>
    <n v="45"/>
    <x v="0"/>
    <x v="5"/>
    <x v="2"/>
    <x v="530"/>
    <x v="530"/>
    <x v="350"/>
    <x v="278"/>
    <n v="108432"/>
    <x v="0"/>
    <x v="0"/>
    <x v="19"/>
  </r>
  <r>
    <s v="CUST0532"/>
    <s v="Aarush Ghosh"/>
    <n v="39"/>
    <x v="0"/>
    <x v="4"/>
    <x v="2"/>
    <x v="531"/>
    <x v="531"/>
    <x v="84"/>
    <x v="290"/>
    <n v="36573"/>
    <x v="0"/>
    <x v="0"/>
    <x v="32"/>
  </r>
  <r>
    <s v="CUST0533"/>
    <s v="Prisha Bava"/>
    <n v="24"/>
    <x v="0"/>
    <x v="7"/>
    <x v="0"/>
    <x v="532"/>
    <x v="532"/>
    <x v="206"/>
    <x v="329"/>
    <n v="227369"/>
    <x v="3"/>
    <x v="0"/>
    <x v="7"/>
  </r>
  <r>
    <s v="CUST0534"/>
    <s v="Mamooty Sachdev"/>
    <n v="63"/>
    <x v="0"/>
    <x v="6"/>
    <x v="1"/>
    <x v="533"/>
    <x v="533"/>
    <x v="55"/>
    <x v="323"/>
    <n v="190853"/>
    <x v="2"/>
    <x v="0"/>
    <x v="19"/>
  </r>
  <r>
    <s v="CUST0535"/>
    <s v="Madhup Banerjee"/>
    <n v="29"/>
    <x v="1"/>
    <x v="5"/>
    <x v="1"/>
    <x v="534"/>
    <x v="534"/>
    <x v="351"/>
    <x v="301"/>
    <n v="180048"/>
    <x v="0"/>
    <x v="0"/>
    <x v="34"/>
  </r>
  <r>
    <s v="CUST0536"/>
    <s v="Darshit Balay"/>
    <n v="30"/>
    <x v="0"/>
    <x v="4"/>
    <x v="2"/>
    <x v="535"/>
    <x v="535"/>
    <x v="104"/>
    <x v="119"/>
    <n v="50803"/>
    <x v="1"/>
    <x v="0"/>
    <x v="8"/>
  </r>
  <r>
    <s v="CUST0537"/>
    <s v="Kashvi Bansal"/>
    <n v="30"/>
    <x v="0"/>
    <x v="7"/>
    <x v="3"/>
    <x v="536"/>
    <x v="536"/>
    <x v="234"/>
    <x v="77"/>
    <n v="49538"/>
    <x v="1"/>
    <x v="0"/>
    <x v="31"/>
  </r>
  <r>
    <s v="CUST0538"/>
    <s v="Dharmajan Ahuja"/>
    <n v="45"/>
    <x v="0"/>
    <x v="3"/>
    <x v="2"/>
    <x v="537"/>
    <x v="537"/>
    <x v="99"/>
    <x v="118"/>
    <n v="85898"/>
    <x v="0"/>
    <x v="1"/>
    <x v="23"/>
  </r>
  <r>
    <s v="CUST0539"/>
    <s v="Jhanvi Babu"/>
    <n v="50"/>
    <x v="1"/>
    <x v="1"/>
    <x v="3"/>
    <x v="538"/>
    <x v="538"/>
    <x v="295"/>
    <x v="206"/>
    <n v="50425"/>
    <x v="3"/>
    <x v="0"/>
    <x v="25"/>
  </r>
  <r>
    <s v="CUST0540"/>
    <s v="Miraan Basak"/>
    <n v="38"/>
    <x v="0"/>
    <x v="4"/>
    <x v="1"/>
    <x v="539"/>
    <x v="539"/>
    <x v="352"/>
    <x v="254"/>
    <n v="79711"/>
    <x v="0"/>
    <x v="1"/>
    <x v="6"/>
  </r>
  <r>
    <s v="CUST0541"/>
    <s v="Alisha Setty"/>
    <n v="27"/>
    <x v="0"/>
    <x v="5"/>
    <x v="3"/>
    <x v="540"/>
    <x v="540"/>
    <x v="353"/>
    <x v="76"/>
    <n v="76666"/>
    <x v="3"/>
    <x v="1"/>
    <x v="19"/>
  </r>
  <r>
    <s v="CUST0542"/>
    <s v="Hansh Ratti"/>
    <n v="26"/>
    <x v="1"/>
    <x v="0"/>
    <x v="2"/>
    <x v="541"/>
    <x v="541"/>
    <x v="354"/>
    <x v="330"/>
    <n v="28413"/>
    <x v="1"/>
    <x v="0"/>
    <x v="40"/>
  </r>
  <r>
    <s v="CUST0543"/>
    <s v="Neelofar Thakur"/>
    <n v="36"/>
    <x v="0"/>
    <x v="2"/>
    <x v="1"/>
    <x v="542"/>
    <x v="542"/>
    <x v="355"/>
    <x v="262"/>
    <n v="178239"/>
    <x v="2"/>
    <x v="0"/>
    <x v="38"/>
  </r>
  <r>
    <s v="CUST0544"/>
    <s v="Kiara Dayal"/>
    <n v="55"/>
    <x v="0"/>
    <x v="5"/>
    <x v="1"/>
    <x v="543"/>
    <x v="543"/>
    <x v="52"/>
    <x v="171"/>
    <n v="144122"/>
    <x v="3"/>
    <x v="0"/>
    <x v="7"/>
  </r>
  <r>
    <s v="CUST0545"/>
    <s v="Tanya Sathe"/>
    <n v="54"/>
    <x v="0"/>
    <x v="0"/>
    <x v="1"/>
    <x v="544"/>
    <x v="544"/>
    <x v="356"/>
    <x v="132"/>
    <n v="21331"/>
    <x v="2"/>
    <x v="0"/>
    <x v="28"/>
  </r>
  <r>
    <s v="CUST0546"/>
    <s v="Himmat De"/>
    <n v="46"/>
    <x v="0"/>
    <x v="3"/>
    <x v="3"/>
    <x v="545"/>
    <x v="545"/>
    <x v="344"/>
    <x v="323"/>
    <n v="149836"/>
    <x v="1"/>
    <x v="0"/>
    <x v="0"/>
  </r>
  <r>
    <s v="CUST0547"/>
    <s v="Vidur Thaman"/>
    <n v="59"/>
    <x v="0"/>
    <x v="4"/>
    <x v="1"/>
    <x v="546"/>
    <x v="546"/>
    <x v="357"/>
    <x v="95"/>
    <n v="43784"/>
    <x v="3"/>
    <x v="1"/>
    <x v="3"/>
  </r>
  <r>
    <s v="CUST0548"/>
    <s v="Priyansh Mannan"/>
    <n v="29"/>
    <x v="1"/>
    <x v="5"/>
    <x v="0"/>
    <x v="547"/>
    <x v="547"/>
    <x v="222"/>
    <x v="331"/>
    <n v="227056"/>
    <x v="1"/>
    <x v="1"/>
    <x v="26"/>
  </r>
  <r>
    <s v="CUST0549"/>
    <s v="Tara Handa"/>
    <n v="66"/>
    <x v="0"/>
    <x v="5"/>
    <x v="0"/>
    <x v="548"/>
    <x v="548"/>
    <x v="103"/>
    <x v="126"/>
    <n v="90723"/>
    <x v="1"/>
    <x v="0"/>
    <x v="11"/>
  </r>
  <r>
    <s v="CUST0550"/>
    <s v="Nirvaan Tara"/>
    <n v="25"/>
    <x v="0"/>
    <x v="1"/>
    <x v="2"/>
    <x v="549"/>
    <x v="549"/>
    <x v="138"/>
    <x v="193"/>
    <n v="120389"/>
    <x v="1"/>
    <x v="0"/>
    <x v="31"/>
  </r>
  <r>
    <s v="CUST0551"/>
    <s v="Shray Agrawal"/>
    <n v="52"/>
    <x v="0"/>
    <x v="1"/>
    <x v="3"/>
    <x v="550"/>
    <x v="550"/>
    <x v="358"/>
    <x v="332"/>
    <n v="49768"/>
    <x v="1"/>
    <x v="1"/>
    <x v="34"/>
  </r>
  <r>
    <s v="CUST0552"/>
    <s v="Nishith Sampath"/>
    <n v="50"/>
    <x v="0"/>
    <x v="4"/>
    <x v="3"/>
    <x v="551"/>
    <x v="551"/>
    <x v="96"/>
    <x v="272"/>
    <n v="198317"/>
    <x v="2"/>
    <x v="1"/>
    <x v="3"/>
  </r>
  <r>
    <s v="CUST0553"/>
    <s v="Yuvaan Butala"/>
    <n v="69"/>
    <x v="1"/>
    <x v="2"/>
    <x v="0"/>
    <x v="552"/>
    <x v="552"/>
    <x v="266"/>
    <x v="333"/>
    <n v="196503"/>
    <x v="2"/>
    <x v="0"/>
    <x v="6"/>
  </r>
  <r>
    <s v="CUST0554"/>
    <s v="Hazel Tara"/>
    <n v="36"/>
    <x v="0"/>
    <x v="7"/>
    <x v="3"/>
    <x v="553"/>
    <x v="553"/>
    <x v="359"/>
    <x v="77"/>
    <n v="40171"/>
    <x v="2"/>
    <x v="0"/>
    <x v="29"/>
  </r>
  <r>
    <s v="CUST0555"/>
    <s v="Taran Dhingra"/>
    <n v="48"/>
    <x v="0"/>
    <x v="1"/>
    <x v="3"/>
    <x v="554"/>
    <x v="554"/>
    <x v="66"/>
    <x v="334"/>
    <n v="110885"/>
    <x v="2"/>
    <x v="1"/>
    <x v="11"/>
  </r>
  <r>
    <s v="CUST0556"/>
    <s v="Dhanuk Shah"/>
    <n v="59"/>
    <x v="1"/>
    <x v="6"/>
    <x v="2"/>
    <x v="555"/>
    <x v="555"/>
    <x v="160"/>
    <x v="306"/>
    <n v="189358"/>
    <x v="1"/>
    <x v="0"/>
    <x v="33"/>
  </r>
  <r>
    <s v="CUST0557"/>
    <s v="Dhanuk Date"/>
    <n v="68"/>
    <x v="0"/>
    <x v="5"/>
    <x v="3"/>
    <x v="556"/>
    <x v="556"/>
    <x v="118"/>
    <x v="27"/>
    <n v="88159"/>
    <x v="2"/>
    <x v="0"/>
    <x v="40"/>
  </r>
  <r>
    <s v="CUST0558"/>
    <s v="Neysa Swamy"/>
    <n v="57"/>
    <x v="0"/>
    <x v="3"/>
    <x v="2"/>
    <x v="557"/>
    <x v="557"/>
    <x v="121"/>
    <x v="304"/>
    <n v="62150"/>
    <x v="0"/>
    <x v="0"/>
    <x v="32"/>
  </r>
  <r>
    <s v="CUST0559"/>
    <s v="Badal Loyal"/>
    <n v="38"/>
    <x v="0"/>
    <x v="5"/>
    <x v="3"/>
    <x v="558"/>
    <x v="558"/>
    <x v="159"/>
    <x v="42"/>
    <n v="170608"/>
    <x v="3"/>
    <x v="1"/>
    <x v="33"/>
  </r>
  <r>
    <s v="CUST0560"/>
    <s v="Madhav Bath"/>
    <n v="46"/>
    <x v="1"/>
    <x v="3"/>
    <x v="1"/>
    <x v="559"/>
    <x v="559"/>
    <x v="360"/>
    <x v="62"/>
    <n v="161522"/>
    <x v="1"/>
    <x v="0"/>
    <x v="20"/>
  </r>
  <r>
    <s v="CUST0561"/>
    <s v="Vardaniya Rao"/>
    <n v="18"/>
    <x v="0"/>
    <x v="4"/>
    <x v="3"/>
    <x v="560"/>
    <x v="560"/>
    <x v="267"/>
    <x v="53"/>
    <n v="213592"/>
    <x v="0"/>
    <x v="1"/>
    <x v="6"/>
  </r>
  <r>
    <s v="CUST0562"/>
    <s v="Ojas Khalsa"/>
    <n v="20"/>
    <x v="0"/>
    <x v="4"/>
    <x v="3"/>
    <x v="561"/>
    <x v="561"/>
    <x v="361"/>
    <x v="263"/>
    <n v="56548"/>
    <x v="0"/>
    <x v="1"/>
    <x v="26"/>
  </r>
  <r>
    <s v="CUST0563"/>
    <s v="Shayak Goda"/>
    <n v="21"/>
    <x v="1"/>
    <x v="1"/>
    <x v="0"/>
    <x v="562"/>
    <x v="562"/>
    <x v="115"/>
    <x v="335"/>
    <n v="179423"/>
    <x v="0"/>
    <x v="1"/>
    <x v="37"/>
  </r>
  <r>
    <s v="CUST0564"/>
    <s v="Piya Krishnamurthy"/>
    <n v="61"/>
    <x v="0"/>
    <x v="5"/>
    <x v="1"/>
    <x v="563"/>
    <x v="563"/>
    <x v="211"/>
    <x v="336"/>
    <n v="196044"/>
    <x v="3"/>
    <x v="1"/>
    <x v="36"/>
  </r>
  <r>
    <s v="CUST0565"/>
    <s v="Shanaya Bakshi"/>
    <n v="41"/>
    <x v="0"/>
    <x v="1"/>
    <x v="1"/>
    <x v="564"/>
    <x v="564"/>
    <x v="125"/>
    <x v="337"/>
    <n v="121217"/>
    <x v="2"/>
    <x v="1"/>
    <x v="38"/>
  </r>
  <r>
    <s v="CUST0566"/>
    <s v="Shray Golla"/>
    <n v="36"/>
    <x v="0"/>
    <x v="2"/>
    <x v="2"/>
    <x v="565"/>
    <x v="565"/>
    <x v="362"/>
    <x v="3"/>
    <n v="62936"/>
    <x v="3"/>
    <x v="1"/>
    <x v="6"/>
  </r>
  <r>
    <s v="CUST0567"/>
    <s v="Yuvraj  Sathe"/>
    <n v="48"/>
    <x v="1"/>
    <x v="0"/>
    <x v="2"/>
    <x v="566"/>
    <x v="566"/>
    <x v="363"/>
    <x v="96"/>
    <n v="247416"/>
    <x v="2"/>
    <x v="0"/>
    <x v="9"/>
  </r>
  <r>
    <s v="CUST0568"/>
    <s v="Hiran Loyal"/>
    <n v="30"/>
    <x v="1"/>
    <x v="6"/>
    <x v="1"/>
    <x v="567"/>
    <x v="567"/>
    <x v="364"/>
    <x v="215"/>
    <n v="68760"/>
    <x v="2"/>
    <x v="0"/>
    <x v="30"/>
  </r>
  <r>
    <s v="CUST0569"/>
    <s v="Divyansh Barad"/>
    <n v="19"/>
    <x v="1"/>
    <x v="0"/>
    <x v="2"/>
    <x v="568"/>
    <x v="568"/>
    <x v="240"/>
    <x v="338"/>
    <n v="227413"/>
    <x v="2"/>
    <x v="0"/>
    <x v="1"/>
  </r>
  <r>
    <s v="CUST0570"/>
    <s v="Kiaan Sandhu"/>
    <n v="19"/>
    <x v="1"/>
    <x v="0"/>
    <x v="3"/>
    <x v="569"/>
    <x v="569"/>
    <x v="305"/>
    <x v="255"/>
    <n v="51288"/>
    <x v="2"/>
    <x v="0"/>
    <x v="8"/>
  </r>
  <r>
    <s v="CUST0571"/>
    <s v="Saanvi Rajagopal"/>
    <n v="41"/>
    <x v="0"/>
    <x v="5"/>
    <x v="1"/>
    <x v="570"/>
    <x v="570"/>
    <x v="365"/>
    <x v="339"/>
    <n v="154355"/>
    <x v="3"/>
    <x v="1"/>
    <x v="25"/>
  </r>
  <r>
    <s v="CUST0572"/>
    <s v="Nitya Bora"/>
    <n v="28"/>
    <x v="0"/>
    <x v="1"/>
    <x v="2"/>
    <x v="571"/>
    <x v="571"/>
    <x v="366"/>
    <x v="340"/>
    <n v="33864"/>
    <x v="0"/>
    <x v="0"/>
    <x v="4"/>
  </r>
  <r>
    <s v="CUST0573"/>
    <s v="Mohanlal Bir"/>
    <n v="52"/>
    <x v="1"/>
    <x v="2"/>
    <x v="3"/>
    <x v="572"/>
    <x v="572"/>
    <x v="367"/>
    <x v="341"/>
    <n v="104569"/>
    <x v="3"/>
    <x v="0"/>
    <x v="5"/>
  </r>
  <r>
    <s v="CUST0574"/>
    <s v="Ela Bhavsar"/>
    <n v="26"/>
    <x v="0"/>
    <x v="2"/>
    <x v="2"/>
    <x v="573"/>
    <x v="573"/>
    <x v="192"/>
    <x v="51"/>
    <n v="155835"/>
    <x v="3"/>
    <x v="0"/>
    <x v="37"/>
  </r>
  <r>
    <s v="CUST0575"/>
    <s v="Advika Babu"/>
    <n v="30"/>
    <x v="0"/>
    <x v="0"/>
    <x v="1"/>
    <x v="574"/>
    <x v="574"/>
    <x v="218"/>
    <x v="342"/>
    <n v="228432"/>
    <x v="0"/>
    <x v="0"/>
    <x v="24"/>
  </r>
  <r>
    <s v="CUST0576"/>
    <s v="Saksham Mammen"/>
    <n v="70"/>
    <x v="1"/>
    <x v="5"/>
    <x v="2"/>
    <x v="575"/>
    <x v="575"/>
    <x v="368"/>
    <x v="149"/>
    <n v="54401"/>
    <x v="1"/>
    <x v="0"/>
    <x v="16"/>
  </r>
  <r>
    <s v="CUST0577"/>
    <s v="Jayan Bhatnagar"/>
    <n v="65"/>
    <x v="0"/>
    <x v="1"/>
    <x v="2"/>
    <x v="576"/>
    <x v="576"/>
    <x v="210"/>
    <x v="260"/>
    <n v="233535"/>
    <x v="0"/>
    <x v="1"/>
    <x v="2"/>
  </r>
  <r>
    <s v="CUST0578"/>
    <s v="Mehul Jayaraman"/>
    <n v="62"/>
    <x v="0"/>
    <x v="2"/>
    <x v="0"/>
    <x v="577"/>
    <x v="577"/>
    <x v="369"/>
    <x v="248"/>
    <n v="220022"/>
    <x v="0"/>
    <x v="1"/>
    <x v="14"/>
  </r>
  <r>
    <s v="CUST0579"/>
    <s v="Badal Som"/>
    <n v="25"/>
    <x v="0"/>
    <x v="1"/>
    <x v="2"/>
    <x v="578"/>
    <x v="578"/>
    <x v="370"/>
    <x v="137"/>
    <n v="86325"/>
    <x v="3"/>
    <x v="1"/>
    <x v="23"/>
  </r>
  <r>
    <s v="CUST0580"/>
    <s v="Samiha Wagle"/>
    <n v="19"/>
    <x v="1"/>
    <x v="3"/>
    <x v="2"/>
    <x v="579"/>
    <x v="579"/>
    <x v="2"/>
    <x v="208"/>
    <n v="43797"/>
    <x v="0"/>
    <x v="0"/>
    <x v="25"/>
  </r>
  <r>
    <s v="CUST0581"/>
    <s v="Devansh Vora"/>
    <n v="70"/>
    <x v="0"/>
    <x v="2"/>
    <x v="2"/>
    <x v="580"/>
    <x v="580"/>
    <x v="111"/>
    <x v="14"/>
    <n v="171554"/>
    <x v="2"/>
    <x v="1"/>
    <x v="17"/>
  </r>
  <r>
    <s v="CUST0582"/>
    <s v="Sara Wason"/>
    <n v="62"/>
    <x v="1"/>
    <x v="0"/>
    <x v="2"/>
    <x v="581"/>
    <x v="581"/>
    <x v="40"/>
    <x v="343"/>
    <n v="174502"/>
    <x v="3"/>
    <x v="1"/>
    <x v="30"/>
  </r>
  <r>
    <s v="CUST0583"/>
    <s v="Renee Gaba"/>
    <n v="25"/>
    <x v="1"/>
    <x v="6"/>
    <x v="0"/>
    <x v="582"/>
    <x v="582"/>
    <x v="91"/>
    <x v="245"/>
    <n v="219598"/>
    <x v="0"/>
    <x v="1"/>
    <x v="19"/>
  </r>
  <r>
    <s v="CUST0584"/>
    <s v="Shaan Mallick"/>
    <n v="49"/>
    <x v="1"/>
    <x v="1"/>
    <x v="1"/>
    <x v="583"/>
    <x v="583"/>
    <x v="368"/>
    <x v="86"/>
    <n v="50335"/>
    <x v="1"/>
    <x v="1"/>
    <x v="38"/>
  </r>
  <r>
    <s v="CUST0585"/>
    <s v="Adira Balan"/>
    <n v="30"/>
    <x v="0"/>
    <x v="7"/>
    <x v="1"/>
    <x v="584"/>
    <x v="584"/>
    <x v="55"/>
    <x v="258"/>
    <n v="244598"/>
    <x v="0"/>
    <x v="1"/>
    <x v="5"/>
  </r>
  <r>
    <s v="CUST0586"/>
    <s v="Piya Koshy"/>
    <n v="46"/>
    <x v="0"/>
    <x v="3"/>
    <x v="0"/>
    <x v="585"/>
    <x v="585"/>
    <x v="335"/>
    <x v="344"/>
    <n v="157012"/>
    <x v="1"/>
    <x v="0"/>
    <x v="21"/>
  </r>
  <r>
    <s v="CUST0587"/>
    <s v="Purab Kunda"/>
    <n v="39"/>
    <x v="1"/>
    <x v="6"/>
    <x v="3"/>
    <x v="586"/>
    <x v="586"/>
    <x v="371"/>
    <x v="287"/>
    <n v="72497"/>
    <x v="2"/>
    <x v="1"/>
    <x v="40"/>
  </r>
  <r>
    <s v="CUST0588"/>
    <s v="Mamooty Deo"/>
    <n v="48"/>
    <x v="1"/>
    <x v="2"/>
    <x v="0"/>
    <x v="587"/>
    <x v="587"/>
    <x v="189"/>
    <x v="345"/>
    <n v="194765"/>
    <x v="1"/>
    <x v="1"/>
    <x v="17"/>
  </r>
  <r>
    <s v="CUST0589"/>
    <s v="Shaan Balay"/>
    <n v="49"/>
    <x v="0"/>
    <x v="4"/>
    <x v="0"/>
    <x v="588"/>
    <x v="588"/>
    <x v="88"/>
    <x v="148"/>
    <n v="80508"/>
    <x v="3"/>
    <x v="1"/>
    <x v="15"/>
  </r>
  <r>
    <s v="CUST0590"/>
    <s v="Tara Behl"/>
    <n v="56"/>
    <x v="1"/>
    <x v="4"/>
    <x v="2"/>
    <x v="589"/>
    <x v="589"/>
    <x v="372"/>
    <x v="97"/>
    <n v="198049"/>
    <x v="1"/>
    <x v="1"/>
    <x v="10"/>
  </r>
  <r>
    <s v="CUST0591"/>
    <s v="Yasmin Ravi"/>
    <n v="49"/>
    <x v="0"/>
    <x v="0"/>
    <x v="0"/>
    <x v="590"/>
    <x v="590"/>
    <x v="43"/>
    <x v="28"/>
    <n v="152328"/>
    <x v="2"/>
    <x v="1"/>
    <x v="20"/>
  </r>
  <r>
    <s v="CUST0592"/>
    <s v="Hridaan Master"/>
    <n v="38"/>
    <x v="1"/>
    <x v="3"/>
    <x v="1"/>
    <x v="591"/>
    <x v="591"/>
    <x v="373"/>
    <x v="270"/>
    <n v="243575"/>
    <x v="2"/>
    <x v="0"/>
    <x v="33"/>
  </r>
  <r>
    <s v="CUST0593"/>
    <s v="Ela Joshi"/>
    <n v="37"/>
    <x v="1"/>
    <x v="4"/>
    <x v="2"/>
    <x v="592"/>
    <x v="592"/>
    <x v="65"/>
    <x v="346"/>
    <n v="207622"/>
    <x v="0"/>
    <x v="1"/>
    <x v="36"/>
  </r>
  <r>
    <s v="CUST0594"/>
    <s v="Zeeshan Anand"/>
    <n v="34"/>
    <x v="1"/>
    <x v="7"/>
    <x v="0"/>
    <x v="593"/>
    <x v="593"/>
    <x v="285"/>
    <x v="40"/>
    <n v="149680"/>
    <x v="0"/>
    <x v="0"/>
    <x v="38"/>
  </r>
  <r>
    <s v="CUST0595"/>
    <s v="Ranbir Tailor"/>
    <n v="41"/>
    <x v="1"/>
    <x v="5"/>
    <x v="1"/>
    <x v="594"/>
    <x v="594"/>
    <x v="374"/>
    <x v="58"/>
    <n v="111455"/>
    <x v="1"/>
    <x v="0"/>
    <x v="23"/>
  </r>
  <r>
    <s v="CUST0596"/>
    <s v="Tejas Zacharia"/>
    <n v="60"/>
    <x v="1"/>
    <x v="2"/>
    <x v="3"/>
    <x v="595"/>
    <x v="595"/>
    <x v="375"/>
    <x v="247"/>
    <n v="84023"/>
    <x v="3"/>
    <x v="0"/>
    <x v="32"/>
  </r>
  <r>
    <s v="CUST0597"/>
    <s v="Lavanya Singh"/>
    <n v="52"/>
    <x v="1"/>
    <x v="6"/>
    <x v="0"/>
    <x v="596"/>
    <x v="596"/>
    <x v="260"/>
    <x v="314"/>
    <n v="105489"/>
    <x v="2"/>
    <x v="0"/>
    <x v="24"/>
  </r>
  <r>
    <s v="CUST0598"/>
    <s v="Mehul Jayaraman"/>
    <n v="38"/>
    <x v="0"/>
    <x v="5"/>
    <x v="1"/>
    <x v="597"/>
    <x v="597"/>
    <x v="376"/>
    <x v="194"/>
    <n v="119021"/>
    <x v="1"/>
    <x v="0"/>
    <x v="36"/>
  </r>
  <r>
    <s v="CUST0599"/>
    <s v="Kiara Cherian"/>
    <n v="57"/>
    <x v="0"/>
    <x v="1"/>
    <x v="3"/>
    <x v="598"/>
    <x v="598"/>
    <x v="216"/>
    <x v="190"/>
    <n v="98517"/>
    <x v="1"/>
    <x v="0"/>
    <x v="40"/>
  </r>
  <r>
    <s v="CUST0600"/>
    <s v="Akarsh Chaudhary"/>
    <n v="37"/>
    <x v="0"/>
    <x v="5"/>
    <x v="3"/>
    <x v="599"/>
    <x v="599"/>
    <x v="334"/>
    <x v="26"/>
    <n v="170345"/>
    <x v="0"/>
    <x v="1"/>
    <x v="40"/>
  </r>
  <r>
    <s v="CUST0601"/>
    <s v="Lakshay Sood"/>
    <n v="45"/>
    <x v="1"/>
    <x v="5"/>
    <x v="2"/>
    <x v="600"/>
    <x v="600"/>
    <x v="377"/>
    <x v="347"/>
    <n v="74981"/>
    <x v="2"/>
    <x v="1"/>
    <x v="39"/>
  </r>
  <r>
    <s v="CUST0602"/>
    <s v="Badal Tella"/>
    <n v="34"/>
    <x v="0"/>
    <x v="4"/>
    <x v="2"/>
    <x v="601"/>
    <x v="601"/>
    <x v="246"/>
    <x v="343"/>
    <n v="183830"/>
    <x v="2"/>
    <x v="1"/>
    <x v="7"/>
  </r>
  <r>
    <s v="CUST0603"/>
    <s v="Mamooty Gaba"/>
    <n v="58"/>
    <x v="0"/>
    <x v="1"/>
    <x v="3"/>
    <x v="602"/>
    <x v="602"/>
    <x v="203"/>
    <x v="109"/>
    <n v="159649"/>
    <x v="2"/>
    <x v="0"/>
    <x v="25"/>
  </r>
  <r>
    <s v="CUST0604"/>
    <s v="Eshani Khatri"/>
    <n v="33"/>
    <x v="0"/>
    <x v="1"/>
    <x v="1"/>
    <x v="603"/>
    <x v="603"/>
    <x v="338"/>
    <x v="142"/>
    <n v="59445"/>
    <x v="1"/>
    <x v="1"/>
    <x v="27"/>
  </r>
  <r>
    <s v="CUST0605"/>
    <s v="Krish Deshpande"/>
    <n v="59"/>
    <x v="0"/>
    <x v="7"/>
    <x v="2"/>
    <x v="604"/>
    <x v="604"/>
    <x v="276"/>
    <x v="348"/>
    <n v="62096"/>
    <x v="1"/>
    <x v="1"/>
    <x v="19"/>
  </r>
  <r>
    <s v="CUST0606"/>
    <s v="Mahika Dass"/>
    <n v="49"/>
    <x v="0"/>
    <x v="7"/>
    <x v="3"/>
    <x v="605"/>
    <x v="605"/>
    <x v="378"/>
    <x v="233"/>
    <n v="166754"/>
    <x v="1"/>
    <x v="0"/>
    <x v="29"/>
  </r>
  <r>
    <s v="CUST0607"/>
    <s v="Lakshit Chand"/>
    <n v="59"/>
    <x v="0"/>
    <x v="5"/>
    <x v="3"/>
    <x v="606"/>
    <x v="606"/>
    <x v="225"/>
    <x v="349"/>
    <n v="243483"/>
    <x v="0"/>
    <x v="1"/>
    <x v="40"/>
  </r>
  <r>
    <s v="CUST0608"/>
    <s v="Azad Baral"/>
    <n v="41"/>
    <x v="0"/>
    <x v="6"/>
    <x v="1"/>
    <x v="607"/>
    <x v="607"/>
    <x v="271"/>
    <x v="350"/>
    <n v="196074"/>
    <x v="0"/>
    <x v="0"/>
    <x v="23"/>
  </r>
  <r>
    <s v="CUST0609"/>
    <s v="Onkar Sarkar"/>
    <n v="56"/>
    <x v="0"/>
    <x v="0"/>
    <x v="2"/>
    <x v="608"/>
    <x v="608"/>
    <x v="8"/>
    <x v="148"/>
    <n v="52054"/>
    <x v="3"/>
    <x v="0"/>
    <x v="21"/>
  </r>
  <r>
    <s v="CUST0610"/>
    <s v="Biju Anand"/>
    <n v="29"/>
    <x v="1"/>
    <x v="5"/>
    <x v="0"/>
    <x v="609"/>
    <x v="609"/>
    <x v="256"/>
    <x v="119"/>
    <n v="76127"/>
    <x v="1"/>
    <x v="1"/>
    <x v="12"/>
  </r>
  <r>
    <s v="CUST0611"/>
    <s v="Damini Boase"/>
    <n v="48"/>
    <x v="1"/>
    <x v="6"/>
    <x v="0"/>
    <x v="610"/>
    <x v="610"/>
    <x v="321"/>
    <x v="351"/>
    <n v="198975"/>
    <x v="0"/>
    <x v="0"/>
    <x v="22"/>
  </r>
  <r>
    <s v="CUST0612"/>
    <s v="Drishya Hayre"/>
    <n v="62"/>
    <x v="1"/>
    <x v="2"/>
    <x v="2"/>
    <x v="611"/>
    <x v="611"/>
    <x v="81"/>
    <x v="352"/>
    <n v="226779"/>
    <x v="2"/>
    <x v="1"/>
    <x v="1"/>
  </r>
  <r>
    <s v="CUST0613"/>
    <s v="Kiara Babu"/>
    <n v="18"/>
    <x v="0"/>
    <x v="6"/>
    <x v="2"/>
    <x v="612"/>
    <x v="612"/>
    <x v="367"/>
    <x v="65"/>
    <n v="123016"/>
    <x v="3"/>
    <x v="1"/>
    <x v="37"/>
  </r>
  <r>
    <s v="CUST0614"/>
    <s v="Chirag Chopra"/>
    <n v="58"/>
    <x v="0"/>
    <x v="4"/>
    <x v="1"/>
    <x v="613"/>
    <x v="613"/>
    <x v="213"/>
    <x v="353"/>
    <n v="103147"/>
    <x v="2"/>
    <x v="1"/>
    <x v="20"/>
  </r>
  <r>
    <s v="CUST0615"/>
    <s v="Arnav Bir"/>
    <n v="63"/>
    <x v="0"/>
    <x v="5"/>
    <x v="1"/>
    <x v="614"/>
    <x v="614"/>
    <x v="261"/>
    <x v="354"/>
    <n v="130720"/>
    <x v="1"/>
    <x v="1"/>
    <x v="13"/>
  </r>
  <r>
    <s v="CUST0616"/>
    <s v="Anvi Bhattacharyya"/>
    <n v="62"/>
    <x v="0"/>
    <x v="7"/>
    <x v="1"/>
    <x v="615"/>
    <x v="615"/>
    <x v="159"/>
    <x v="178"/>
    <n v="27169"/>
    <x v="3"/>
    <x v="1"/>
    <x v="3"/>
  </r>
  <r>
    <s v="CUST0617"/>
    <s v="Vritika Atwal"/>
    <n v="38"/>
    <x v="0"/>
    <x v="0"/>
    <x v="3"/>
    <x v="616"/>
    <x v="616"/>
    <x v="379"/>
    <x v="355"/>
    <n v="170944"/>
    <x v="2"/>
    <x v="1"/>
    <x v="38"/>
  </r>
  <r>
    <s v="CUST0618"/>
    <s v="Neelofar Gopal"/>
    <n v="65"/>
    <x v="0"/>
    <x v="0"/>
    <x v="3"/>
    <x v="617"/>
    <x v="617"/>
    <x v="86"/>
    <x v="267"/>
    <n v="54998"/>
    <x v="3"/>
    <x v="1"/>
    <x v="17"/>
  </r>
  <r>
    <s v="CUST0619"/>
    <s v="Kanav Bedi"/>
    <n v="42"/>
    <x v="0"/>
    <x v="2"/>
    <x v="1"/>
    <x v="618"/>
    <x v="618"/>
    <x v="316"/>
    <x v="356"/>
    <n v="238806"/>
    <x v="3"/>
    <x v="1"/>
    <x v="33"/>
  </r>
  <r>
    <s v="CUST0620"/>
    <s v="Uthkarsh Rege"/>
    <n v="62"/>
    <x v="0"/>
    <x v="5"/>
    <x v="2"/>
    <x v="619"/>
    <x v="619"/>
    <x v="205"/>
    <x v="256"/>
    <n v="243302"/>
    <x v="0"/>
    <x v="0"/>
    <x v="13"/>
  </r>
  <r>
    <s v="CUST0621"/>
    <s v="Jiya Hayer"/>
    <n v="63"/>
    <x v="0"/>
    <x v="1"/>
    <x v="2"/>
    <x v="620"/>
    <x v="620"/>
    <x v="99"/>
    <x v="357"/>
    <n v="157845"/>
    <x v="3"/>
    <x v="1"/>
    <x v="5"/>
  </r>
  <r>
    <s v="CUST0622"/>
    <s v="Ivana Tata"/>
    <n v="36"/>
    <x v="1"/>
    <x v="1"/>
    <x v="1"/>
    <x v="621"/>
    <x v="621"/>
    <x v="318"/>
    <x v="256"/>
    <n v="215675"/>
    <x v="3"/>
    <x v="1"/>
    <x v="2"/>
  </r>
  <r>
    <s v="CUST0623"/>
    <s v="Dishani Aurora"/>
    <n v="68"/>
    <x v="0"/>
    <x v="5"/>
    <x v="1"/>
    <x v="622"/>
    <x v="622"/>
    <x v="229"/>
    <x v="358"/>
    <n v="58258"/>
    <x v="0"/>
    <x v="0"/>
    <x v="3"/>
  </r>
  <r>
    <s v="CUST0624"/>
    <s v="Hansh Bhatia"/>
    <n v="48"/>
    <x v="1"/>
    <x v="0"/>
    <x v="3"/>
    <x v="623"/>
    <x v="623"/>
    <x v="171"/>
    <x v="86"/>
    <n v="54918"/>
    <x v="0"/>
    <x v="0"/>
    <x v="11"/>
  </r>
  <r>
    <s v="CUST0625"/>
    <s v="Ishita Basak"/>
    <n v="53"/>
    <x v="0"/>
    <x v="7"/>
    <x v="3"/>
    <x v="624"/>
    <x v="624"/>
    <x v="239"/>
    <x v="359"/>
    <n v="35401"/>
    <x v="2"/>
    <x v="1"/>
    <x v="18"/>
  </r>
  <r>
    <s v="CUST0626"/>
    <s v="Shaan Mangal"/>
    <n v="43"/>
    <x v="1"/>
    <x v="3"/>
    <x v="1"/>
    <x v="625"/>
    <x v="625"/>
    <x v="41"/>
    <x v="215"/>
    <n v="195967"/>
    <x v="1"/>
    <x v="1"/>
    <x v="25"/>
  </r>
  <r>
    <s v="CUST0627"/>
    <s v="Nehmat Jaggi"/>
    <n v="26"/>
    <x v="0"/>
    <x v="3"/>
    <x v="1"/>
    <x v="626"/>
    <x v="626"/>
    <x v="210"/>
    <x v="237"/>
    <n v="43500"/>
    <x v="1"/>
    <x v="1"/>
    <x v="19"/>
  </r>
  <r>
    <s v="CUST0628"/>
    <s v="Manikya Jhaveri"/>
    <n v="45"/>
    <x v="0"/>
    <x v="5"/>
    <x v="1"/>
    <x v="627"/>
    <x v="627"/>
    <x v="137"/>
    <x v="264"/>
    <n v="94167"/>
    <x v="3"/>
    <x v="1"/>
    <x v="27"/>
  </r>
  <r>
    <s v="CUST0629"/>
    <s v="Mannat Sarna"/>
    <n v="21"/>
    <x v="1"/>
    <x v="0"/>
    <x v="0"/>
    <x v="628"/>
    <x v="628"/>
    <x v="380"/>
    <x v="313"/>
    <n v="69524"/>
    <x v="2"/>
    <x v="0"/>
    <x v="13"/>
  </r>
  <r>
    <s v="CUST0630"/>
    <s v="Rhea Varkey"/>
    <n v="46"/>
    <x v="0"/>
    <x v="2"/>
    <x v="3"/>
    <x v="629"/>
    <x v="629"/>
    <x v="381"/>
    <x v="360"/>
    <n v="113459"/>
    <x v="0"/>
    <x v="0"/>
    <x v="23"/>
  </r>
  <r>
    <s v="CUST0631"/>
    <s v="Drishya Khanna"/>
    <n v="36"/>
    <x v="0"/>
    <x v="7"/>
    <x v="2"/>
    <x v="630"/>
    <x v="630"/>
    <x v="382"/>
    <x v="173"/>
    <n v="67357"/>
    <x v="2"/>
    <x v="0"/>
    <x v="6"/>
  </r>
  <r>
    <s v="CUST0632"/>
    <s v="Mehul Lal"/>
    <n v="33"/>
    <x v="0"/>
    <x v="0"/>
    <x v="3"/>
    <x v="631"/>
    <x v="631"/>
    <x v="76"/>
    <x v="205"/>
    <n v="221393"/>
    <x v="0"/>
    <x v="1"/>
    <x v="17"/>
  </r>
  <r>
    <s v="CUST0633"/>
    <s v="Nirvi Barad"/>
    <n v="27"/>
    <x v="1"/>
    <x v="7"/>
    <x v="3"/>
    <x v="632"/>
    <x v="632"/>
    <x v="383"/>
    <x v="131"/>
    <n v="27569"/>
    <x v="0"/>
    <x v="1"/>
    <x v="26"/>
  </r>
  <r>
    <s v="CUST0634"/>
    <s v="Kismat Rao"/>
    <n v="38"/>
    <x v="0"/>
    <x v="6"/>
    <x v="3"/>
    <x v="633"/>
    <x v="633"/>
    <x v="65"/>
    <x v="103"/>
    <n v="211770"/>
    <x v="0"/>
    <x v="0"/>
    <x v="11"/>
  </r>
  <r>
    <s v="CUST0635"/>
    <s v="Mahika Reddy"/>
    <n v="53"/>
    <x v="1"/>
    <x v="2"/>
    <x v="0"/>
    <x v="634"/>
    <x v="634"/>
    <x v="259"/>
    <x v="348"/>
    <n v="177887"/>
    <x v="3"/>
    <x v="0"/>
    <x v="38"/>
  </r>
  <r>
    <s v="CUST0636"/>
    <s v="Alia Kibe"/>
    <n v="42"/>
    <x v="1"/>
    <x v="6"/>
    <x v="2"/>
    <x v="635"/>
    <x v="635"/>
    <x v="227"/>
    <x v="203"/>
    <n v="224339"/>
    <x v="1"/>
    <x v="0"/>
    <x v="4"/>
  </r>
  <r>
    <s v="CUST0637"/>
    <s v="Manjari Gera"/>
    <n v="41"/>
    <x v="1"/>
    <x v="2"/>
    <x v="1"/>
    <x v="636"/>
    <x v="636"/>
    <x v="306"/>
    <x v="214"/>
    <n v="154388"/>
    <x v="1"/>
    <x v="0"/>
    <x v="17"/>
  </r>
  <r>
    <s v="CUST0638"/>
    <s v="Nirvaan Mannan"/>
    <n v="45"/>
    <x v="0"/>
    <x v="4"/>
    <x v="0"/>
    <x v="637"/>
    <x v="637"/>
    <x v="374"/>
    <x v="361"/>
    <n v="185330"/>
    <x v="1"/>
    <x v="1"/>
    <x v="5"/>
  </r>
  <r>
    <s v="CUST0639"/>
    <s v="Hridaan Kapadia"/>
    <n v="45"/>
    <x v="1"/>
    <x v="1"/>
    <x v="1"/>
    <x v="638"/>
    <x v="638"/>
    <x v="28"/>
    <x v="228"/>
    <n v="40757"/>
    <x v="1"/>
    <x v="0"/>
    <x v="5"/>
  </r>
  <r>
    <s v="CUST0640"/>
    <s v="Sara Ben"/>
    <n v="53"/>
    <x v="1"/>
    <x v="6"/>
    <x v="3"/>
    <x v="639"/>
    <x v="639"/>
    <x v="284"/>
    <x v="61"/>
    <n v="40062"/>
    <x v="1"/>
    <x v="0"/>
    <x v="14"/>
  </r>
  <r>
    <s v="CUST0641"/>
    <s v="Rati Hayre"/>
    <n v="67"/>
    <x v="1"/>
    <x v="7"/>
    <x v="0"/>
    <x v="640"/>
    <x v="640"/>
    <x v="384"/>
    <x v="198"/>
    <n v="151974"/>
    <x v="2"/>
    <x v="1"/>
    <x v="28"/>
  </r>
  <r>
    <s v="CUST0642"/>
    <s v="Yuvraj  Bakshi"/>
    <n v="38"/>
    <x v="1"/>
    <x v="3"/>
    <x v="2"/>
    <x v="641"/>
    <x v="641"/>
    <x v="385"/>
    <x v="362"/>
    <n v="173933"/>
    <x v="3"/>
    <x v="0"/>
    <x v="39"/>
  </r>
  <r>
    <s v="CUST0643"/>
    <s v="Shamik De"/>
    <n v="65"/>
    <x v="1"/>
    <x v="2"/>
    <x v="0"/>
    <x v="642"/>
    <x v="642"/>
    <x v="203"/>
    <x v="158"/>
    <n v="178348"/>
    <x v="3"/>
    <x v="1"/>
    <x v="20"/>
  </r>
  <r>
    <s v="CUST0644"/>
    <s v="Anika Ravel"/>
    <n v="47"/>
    <x v="1"/>
    <x v="0"/>
    <x v="3"/>
    <x v="643"/>
    <x v="643"/>
    <x v="21"/>
    <x v="298"/>
    <n v="201352"/>
    <x v="0"/>
    <x v="0"/>
    <x v="26"/>
  </r>
  <r>
    <s v="CUST0645"/>
    <s v="Emir Banerjee"/>
    <n v="26"/>
    <x v="1"/>
    <x v="3"/>
    <x v="2"/>
    <x v="644"/>
    <x v="644"/>
    <x v="386"/>
    <x v="31"/>
    <n v="23637"/>
    <x v="2"/>
    <x v="0"/>
    <x v="20"/>
  </r>
  <r>
    <s v="CUST0646"/>
    <s v="Gokul Kulkarni"/>
    <n v="23"/>
    <x v="0"/>
    <x v="4"/>
    <x v="1"/>
    <x v="645"/>
    <x v="645"/>
    <x v="260"/>
    <x v="363"/>
    <n v="98883"/>
    <x v="2"/>
    <x v="0"/>
    <x v="19"/>
  </r>
  <r>
    <s v="CUST0647"/>
    <s v="Oorja Rout"/>
    <n v="46"/>
    <x v="0"/>
    <x v="0"/>
    <x v="1"/>
    <x v="646"/>
    <x v="646"/>
    <x v="109"/>
    <x v="364"/>
    <n v="173413"/>
    <x v="2"/>
    <x v="1"/>
    <x v="27"/>
  </r>
  <r>
    <s v="CUST0648"/>
    <s v="Miraan Raju"/>
    <n v="20"/>
    <x v="0"/>
    <x v="0"/>
    <x v="3"/>
    <x v="647"/>
    <x v="647"/>
    <x v="387"/>
    <x v="145"/>
    <n v="147794"/>
    <x v="0"/>
    <x v="1"/>
    <x v="0"/>
  </r>
  <r>
    <s v="CUST0649"/>
    <s v="Kimaya Sha"/>
    <n v="59"/>
    <x v="0"/>
    <x v="3"/>
    <x v="3"/>
    <x v="648"/>
    <x v="648"/>
    <x v="204"/>
    <x v="112"/>
    <n v="129350"/>
    <x v="3"/>
    <x v="1"/>
    <x v="32"/>
  </r>
  <r>
    <s v="CUST0650"/>
    <s v="Ojas Anne"/>
    <n v="40"/>
    <x v="1"/>
    <x v="3"/>
    <x v="3"/>
    <x v="649"/>
    <x v="649"/>
    <x v="98"/>
    <x v="62"/>
    <n v="134848"/>
    <x v="2"/>
    <x v="1"/>
    <x v="12"/>
  </r>
  <r>
    <s v="CUST0651"/>
    <s v="Ojas Ben"/>
    <n v="61"/>
    <x v="0"/>
    <x v="4"/>
    <x v="2"/>
    <x v="650"/>
    <x v="650"/>
    <x v="357"/>
    <x v="365"/>
    <n v="191049"/>
    <x v="3"/>
    <x v="0"/>
    <x v="11"/>
  </r>
  <r>
    <s v="CUST0652"/>
    <s v="Hridaan Bhagat"/>
    <n v="28"/>
    <x v="0"/>
    <x v="7"/>
    <x v="3"/>
    <x v="651"/>
    <x v="651"/>
    <x v="388"/>
    <x v="298"/>
    <n v="178793"/>
    <x v="1"/>
    <x v="1"/>
    <x v="2"/>
  </r>
  <r>
    <s v="CUST0653"/>
    <s v="Jayesh Ramaswamy"/>
    <n v="61"/>
    <x v="1"/>
    <x v="0"/>
    <x v="0"/>
    <x v="652"/>
    <x v="652"/>
    <x v="278"/>
    <x v="60"/>
    <n v="61577"/>
    <x v="3"/>
    <x v="0"/>
    <x v="39"/>
  </r>
  <r>
    <s v="CUST0654"/>
    <s v="Aaryahi Dewan"/>
    <n v="53"/>
    <x v="1"/>
    <x v="3"/>
    <x v="0"/>
    <x v="653"/>
    <x v="653"/>
    <x v="5"/>
    <x v="310"/>
    <n v="78745"/>
    <x v="0"/>
    <x v="1"/>
    <x v="15"/>
  </r>
  <r>
    <s v="CUST0655"/>
    <s v="Jivin Dhar"/>
    <n v="69"/>
    <x v="0"/>
    <x v="7"/>
    <x v="0"/>
    <x v="654"/>
    <x v="654"/>
    <x v="336"/>
    <x v="335"/>
    <n v="139835"/>
    <x v="3"/>
    <x v="0"/>
    <x v="12"/>
  </r>
  <r>
    <s v="CUST0656"/>
    <s v="Adira Khatri"/>
    <n v="31"/>
    <x v="0"/>
    <x v="3"/>
    <x v="3"/>
    <x v="655"/>
    <x v="655"/>
    <x v="389"/>
    <x v="134"/>
    <n v="114801"/>
    <x v="1"/>
    <x v="0"/>
    <x v="36"/>
  </r>
  <r>
    <s v="CUST0657"/>
    <s v="Ishita Ranganathan"/>
    <n v="25"/>
    <x v="1"/>
    <x v="5"/>
    <x v="3"/>
    <x v="656"/>
    <x v="656"/>
    <x v="390"/>
    <x v="153"/>
    <n v="242454"/>
    <x v="3"/>
    <x v="0"/>
    <x v="30"/>
  </r>
  <r>
    <s v="CUST0658"/>
    <s v="Manikya Kumar"/>
    <n v="35"/>
    <x v="1"/>
    <x v="1"/>
    <x v="2"/>
    <x v="657"/>
    <x v="657"/>
    <x v="217"/>
    <x v="366"/>
    <n v="117631"/>
    <x v="2"/>
    <x v="1"/>
    <x v="8"/>
  </r>
  <r>
    <s v="CUST0659"/>
    <s v="Jayan Kothari"/>
    <n v="44"/>
    <x v="0"/>
    <x v="7"/>
    <x v="0"/>
    <x v="658"/>
    <x v="658"/>
    <x v="104"/>
    <x v="367"/>
    <n v="140259"/>
    <x v="0"/>
    <x v="1"/>
    <x v="20"/>
  </r>
  <r>
    <s v="CUST0660"/>
    <s v="Rohan Amble"/>
    <n v="38"/>
    <x v="0"/>
    <x v="7"/>
    <x v="3"/>
    <x v="659"/>
    <x v="659"/>
    <x v="391"/>
    <x v="295"/>
    <n v="125290"/>
    <x v="2"/>
    <x v="1"/>
    <x v="8"/>
  </r>
  <r>
    <s v="CUST0661"/>
    <s v="Abram Buch"/>
    <n v="61"/>
    <x v="1"/>
    <x v="3"/>
    <x v="1"/>
    <x v="660"/>
    <x v="660"/>
    <x v="392"/>
    <x v="359"/>
    <n v="203707"/>
    <x v="2"/>
    <x v="0"/>
    <x v="18"/>
  </r>
  <r>
    <s v="CUST0662"/>
    <s v="Tarini Banik"/>
    <n v="52"/>
    <x v="1"/>
    <x v="1"/>
    <x v="3"/>
    <x v="661"/>
    <x v="661"/>
    <x v="184"/>
    <x v="315"/>
    <n v="183672"/>
    <x v="0"/>
    <x v="0"/>
    <x v="39"/>
  </r>
  <r>
    <s v="CUST0663"/>
    <s v="Lakshay Kalla"/>
    <n v="52"/>
    <x v="1"/>
    <x v="1"/>
    <x v="0"/>
    <x v="662"/>
    <x v="662"/>
    <x v="230"/>
    <x v="245"/>
    <n v="107685"/>
    <x v="1"/>
    <x v="1"/>
    <x v="35"/>
  </r>
  <r>
    <s v="CUST0664"/>
    <s v="Myra Bava"/>
    <n v="66"/>
    <x v="1"/>
    <x v="0"/>
    <x v="0"/>
    <x v="663"/>
    <x v="663"/>
    <x v="393"/>
    <x v="206"/>
    <n v="186641"/>
    <x v="0"/>
    <x v="1"/>
    <x v="13"/>
  </r>
  <r>
    <s v="CUST0665"/>
    <s v="Tushar Shah"/>
    <n v="34"/>
    <x v="0"/>
    <x v="4"/>
    <x v="3"/>
    <x v="664"/>
    <x v="664"/>
    <x v="196"/>
    <x v="112"/>
    <n v="184361"/>
    <x v="3"/>
    <x v="0"/>
    <x v="4"/>
  </r>
  <r>
    <s v="CUST0666"/>
    <s v="Divyansh Raju"/>
    <n v="40"/>
    <x v="1"/>
    <x v="1"/>
    <x v="0"/>
    <x v="665"/>
    <x v="665"/>
    <x v="325"/>
    <x v="37"/>
    <n v="98433"/>
    <x v="1"/>
    <x v="0"/>
    <x v="29"/>
  </r>
  <r>
    <s v="CUST0667"/>
    <s v="Oorja Chowdhury"/>
    <n v="70"/>
    <x v="0"/>
    <x v="7"/>
    <x v="1"/>
    <x v="666"/>
    <x v="666"/>
    <x v="394"/>
    <x v="139"/>
    <n v="224092"/>
    <x v="3"/>
    <x v="1"/>
    <x v="21"/>
  </r>
  <r>
    <s v="CUST0668"/>
    <s v="Nitara Srinivasan"/>
    <n v="31"/>
    <x v="1"/>
    <x v="6"/>
    <x v="1"/>
    <x v="667"/>
    <x v="667"/>
    <x v="395"/>
    <x v="368"/>
    <n v="136959"/>
    <x v="2"/>
    <x v="1"/>
    <x v="33"/>
  </r>
  <r>
    <s v="CUST0669"/>
    <s v="Alisha Chacko"/>
    <n v="62"/>
    <x v="1"/>
    <x v="4"/>
    <x v="2"/>
    <x v="668"/>
    <x v="668"/>
    <x v="396"/>
    <x v="325"/>
    <n v="148330"/>
    <x v="0"/>
    <x v="0"/>
    <x v="36"/>
  </r>
  <r>
    <s v="CUST0670"/>
    <s v="Jayant Bail"/>
    <n v="47"/>
    <x v="0"/>
    <x v="0"/>
    <x v="0"/>
    <x v="669"/>
    <x v="669"/>
    <x v="41"/>
    <x v="213"/>
    <n v="144087"/>
    <x v="0"/>
    <x v="1"/>
    <x v="37"/>
  </r>
  <r>
    <s v="CUST0671"/>
    <s v="Zaina Chanda"/>
    <n v="54"/>
    <x v="1"/>
    <x v="6"/>
    <x v="1"/>
    <x v="670"/>
    <x v="670"/>
    <x v="333"/>
    <x v="369"/>
    <n v="95914"/>
    <x v="0"/>
    <x v="0"/>
    <x v="35"/>
  </r>
  <r>
    <s v="CUST0672"/>
    <s v="Gatik Lad"/>
    <n v="27"/>
    <x v="0"/>
    <x v="4"/>
    <x v="0"/>
    <x v="671"/>
    <x v="671"/>
    <x v="315"/>
    <x v="63"/>
    <n v="225466"/>
    <x v="0"/>
    <x v="1"/>
    <x v="17"/>
  </r>
  <r>
    <s v="CUST0673"/>
    <s v="Alisha Wagle"/>
    <n v="22"/>
    <x v="1"/>
    <x v="0"/>
    <x v="1"/>
    <x v="672"/>
    <x v="672"/>
    <x v="397"/>
    <x v="261"/>
    <n v="248177"/>
    <x v="3"/>
    <x v="0"/>
    <x v="3"/>
  </r>
  <r>
    <s v="CUST0674"/>
    <s v="Aarush Subramaniam"/>
    <n v="50"/>
    <x v="1"/>
    <x v="2"/>
    <x v="1"/>
    <x v="673"/>
    <x v="673"/>
    <x v="398"/>
    <x v="238"/>
    <n v="186844"/>
    <x v="2"/>
    <x v="0"/>
    <x v="7"/>
  </r>
  <r>
    <s v="CUST0675"/>
    <s v="Hiran Bhasin"/>
    <n v="43"/>
    <x v="0"/>
    <x v="3"/>
    <x v="0"/>
    <x v="674"/>
    <x v="674"/>
    <x v="399"/>
    <x v="171"/>
    <n v="108866"/>
    <x v="1"/>
    <x v="0"/>
    <x v="17"/>
  </r>
  <r>
    <s v="CUST0676"/>
    <s v="Samar Baral"/>
    <n v="59"/>
    <x v="0"/>
    <x v="4"/>
    <x v="0"/>
    <x v="675"/>
    <x v="675"/>
    <x v="400"/>
    <x v="262"/>
    <n v="166630"/>
    <x v="0"/>
    <x v="0"/>
    <x v="8"/>
  </r>
  <r>
    <s v="CUST0677"/>
    <s v="Kanav Grover"/>
    <n v="19"/>
    <x v="1"/>
    <x v="0"/>
    <x v="0"/>
    <x v="676"/>
    <x v="676"/>
    <x v="72"/>
    <x v="309"/>
    <n v="92079"/>
    <x v="2"/>
    <x v="0"/>
    <x v="10"/>
  </r>
  <r>
    <s v="CUST0678"/>
    <s v="Ela Kamdar"/>
    <n v="39"/>
    <x v="0"/>
    <x v="2"/>
    <x v="0"/>
    <x v="677"/>
    <x v="677"/>
    <x v="401"/>
    <x v="167"/>
    <n v="134561"/>
    <x v="3"/>
    <x v="1"/>
    <x v="16"/>
  </r>
  <r>
    <s v="CUST0679"/>
    <s v="Indrajit Chacko"/>
    <n v="27"/>
    <x v="0"/>
    <x v="7"/>
    <x v="3"/>
    <x v="678"/>
    <x v="678"/>
    <x v="281"/>
    <x v="123"/>
    <n v="67885"/>
    <x v="3"/>
    <x v="0"/>
    <x v="21"/>
  </r>
  <r>
    <s v="CUST0680"/>
    <s v="Taimur Sunder"/>
    <n v="63"/>
    <x v="1"/>
    <x v="0"/>
    <x v="0"/>
    <x v="679"/>
    <x v="679"/>
    <x v="210"/>
    <x v="370"/>
    <n v="35335"/>
    <x v="0"/>
    <x v="0"/>
    <x v="6"/>
  </r>
  <r>
    <s v="CUST0681"/>
    <s v="Darshit Chopra"/>
    <n v="33"/>
    <x v="0"/>
    <x v="6"/>
    <x v="0"/>
    <x v="680"/>
    <x v="680"/>
    <x v="71"/>
    <x v="107"/>
    <n v="217167"/>
    <x v="1"/>
    <x v="1"/>
    <x v="36"/>
  </r>
  <r>
    <s v="CUST0682"/>
    <s v="Madhup Sur"/>
    <n v="53"/>
    <x v="1"/>
    <x v="2"/>
    <x v="2"/>
    <x v="681"/>
    <x v="681"/>
    <x v="198"/>
    <x v="371"/>
    <n v="126712"/>
    <x v="3"/>
    <x v="1"/>
    <x v="7"/>
  </r>
  <r>
    <s v="CUST0683"/>
    <s v="Jiya Wali"/>
    <n v="54"/>
    <x v="0"/>
    <x v="5"/>
    <x v="2"/>
    <x v="682"/>
    <x v="682"/>
    <x v="402"/>
    <x v="68"/>
    <n v="126626"/>
    <x v="3"/>
    <x v="1"/>
    <x v="28"/>
  </r>
  <r>
    <s v="CUST0684"/>
    <s v="Chirag Joshi"/>
    <n v="53"/>
    <x v="0"/>
    <x v="7"/>
    <x v="1"/>
    <x v="683"/>
    <x v="683"/>
    <x v="145"/>
    <x v="297"/>
    <n v="138421"/>
    <x v="1"/>
    <x v="1"/>
    <x v="38"/>
  </r>
  <r>
    <s v="CUST0685"/>
    <s v="Anika Butala"/>
    <n v="61"/>
    <x v="1"/>
    <x v="7"/>
    <x v="2"/>
    <x v="684"/>
    <x v="684"/>
    <x v="89"/>
    <x v="372"/>
    <n v="119654"/>
    <x v="0"/>
    <x v="1"/>
    <x v="40"/>
  </r>
  <r>
    <s v="CUST0686"/>
    <s v="Vritika Gandhi"/>
    <n v="23"/>
    <x v="0"/>
    <x v="5"/>
    <x v="3"/>
    <x v="685"/>
    <x v="685"/>
    <x v="97"/>
    <x v="187"/>
    <n v="123626"/>
    <x v="1"/>
    <x v="1"/>
    <x v="7"/>
  </r>
  <r>
    <s v="CUST0687"/>
    <s v="Neelofar Mandal"/>
    <n v="35"/>
    <x v="1"/>
    <x v="7"/>
    <x v="2"/>
    <x v="686"/>
    <x v="686"/>
    <x v="26"/>
    <x v="143"/>
    <n v="84468"/>
    <x v="0"/>
    <x v="1"/>
    <x v="34"/>
  </r>
  <r>
    <s v="CUST0688"/>
    <s v="Taran Thaker"/>
    <n v="18"/>
    <x v="0"/>
    <x v="2"/>
    <x v="0"/>
    <x v="687"/>
    <x v="687"/>
    <x v="165"/>
    <x v="134"/>
    <n v="22510"/>
    <x v="2"/>
    <x v="0"/>
    <x v="21"/>
  </r>
  <r>
    <s v="CUST0689"/>
    <s v="Ira Sarin"/>
    <n v="40"/>
    <x v="0"/>
    <x v="2"/>
    <x v="1"/>
    <x v="688"/>
    <x v="688"/>
    <x v="353"/>
    <x v="270"/>
    <n v="233065"/>
    <x v="1"/>
    <x v="0"/>
    <x v="40"/>
  </r>
  <r>
    <s v="CUST0690"/>
    <s v="Samar Wali"/>
    <n v="46"/>
    <x v="1"/>
    <x v="1"/>
    <x v="0"/>
    <x v="689"/>
    <x v="689"/>
    <x v="403"/>
    <x v="266"/>
    <n v="22454"/>
    <x v="1"/>
    <x v="0"/>
    <x v="37"/>
  </r>
  <r>
    <s v="CUST0691"/>
    <s v="Shlok Sangha"/>
    <n v="32"/>
    <x v="0"/>
    <x v="7"/>
    <x v="2"/>
    <x v="690"/>
    <x v="690"/>
    <x v="87"/>
    <x v="373"/>
    <n v="149448"/>
    <x v="2"/>
    <x v="0"/>
    <x v="32"/>
  </r>
  <r>
    <s v="CUST0692"/>
    <s v="Raunak Loyal"/>
    <n v="35"/>
    <x v="0"/>
    <x v="2"/>
    <x v="2"/>
    <x v="691"/>
    <x v="691"/>
    <x v="268"/>
    <x v="17"/>
    <n v="169186"/>
    <x v="0"/>
    <x v="0"/>
    <x v="8"/>
  </r>
  <r>
    <s v="CUST0693"/>
    <s v="Emir Sharaf"/>
    <n v="34"/>
    <x v="0"/>
    <x v="6"/>
    <x v="1"/>
    <x v="692"/>
    <x v="692"/>
    <x v="197"/>
    <x v="276"/>
    <n v="169396"/>
    <x v="0"/>
    <x v="1"/>
    <x v="40"/>
  </r>
  <r>
    <s v="CUST0694"/>
    <s v="Aaina Rana"/>
    <n v="59"/>
    <x v="1"/>
    <x v="6"/>
    <x v="0"/>
    <x v="693"/>
    <x v="693"/>
    <x v="105"/>
    <x v="374"/>
    <n v="196449"/>
    <x v="2"/>
    <x v="1"/>
    <x v="40"/>
  </r>
  <r>
    <s v="CUST0695"/>
    <s v="Fateh Kamdar"/>
    <n v="41"/>
    <x v="1"/>
    <x v="4"/>
    <x v="3"/>
    <x v="694"/>
    <x v="694"/>
    <x v="404"/>
    <x v="340"/>
    <n v="155595"/>
    <x v="0"/>
    <x v="1"/>
    <x v="17"/>
  </r>
  <r>
    <s v="CUST0696"/>
    <s v="Rhea Bumb"/>
    <n v="30"/>
    <x v="1"/>
    <x v="2"/>
    <x v="2"/>
    <x v="695"/>
    <x v="695"/>
    <x v="361"/>
    <x v="148"/>
    <n v="107741"/>
    <x v="3"/>
    <x v="0"/>
    <x v="2"/>
  </r>
  <r>
    <s v="CUST0697"/>
    <s v="Anahita Chokshi"/>
    <n v="39"/>
    <x v="0"/>
    <x v="5"/>
    <x v="3"/>
    <x v="696"/>
    <x v="696"/>
    <x v="405"/>
    <x v="375"/>
    <n v="101475"/>
    <x v="3"/>
    <x v="0"/>
    <x v="14"/>
  </r>
  <r>
    <s v="CUST0698"/>
    <s v="Vardaniya Ramakrishnan"/>
    <n v="48"/>
    <x v="0"/>
    <x v="4"/>
    <x v="0"/>
    <x v="697"/>
    <x v="697"/>
    <x v="27"/>
    <x v="245"/>
    <n v="82484"/>
    <x v="2"/>
    <x v="0"/>
    <x v="39"/>
  </r>
  <r>
    <s v="CUST0699"/>
    <s v="Prisha Warrior"/>
    <n v="23"/>
    <x v="1"/>
    <x v="7"/>
    <x v="3"/>
    <x v="698"/>
    <x v="698"/>
    <x v="406"/>
    <x v="335"/>
    <n v="35908"/>
    <x v="2"/>
    <x v="0"/>
    <x v="19"/>
  </r>
  <r>
    <s v="CUST0700"/>
    <s v="Aradhya Sarma"/>
    <n v="24"/>
    <x v="1"/>
    <x v="1"/>
    <x v="0"/>
    <x v="699"/>
    <x v="699"/>
    <x v="74"/>
    <x v="263"/>
    <n v="197619"/>
    <x v="2"/>
    <x v="1"/>
    <x v="23"/>
  </r>
  <r>
    <s v="CUST0701"/>
    <s v="Saira Magar"/>
    <n v="47"/>
    <x v="0"/>
    <x v="4"/>
    <x v="3"/>
    <x v="700"/>
    <x v="700"/>
    <x v="407"/>
    <x v="210"/>
    <n v="228447"/>
    <x v="3"/>
    <x v="0"/>
    <x v="1"/>
  </r>
  <r>
    <s v="CUST0702"/>
    <s v="Ishaan Manne"/>
    <n v="24"/>
    <x v="1"/>
    <x v="5"/>
    <x v="1"/>
    <x v="701"/>
    <x v="701"/>
    <x v="268"/>
    <x v="373"/>
    <n v="23221"/>
    <x v="2"/>
    <x v="1"/>
    <x v="25"/>
  </r>
  <r>
    <s v="CUST0703"/>
    <s v="Vritika Gala"/>
    <n v="29"/>
    <x v="1"/>
    <x v="6"/>
    <x v="2"/>
    <x v="702"/>
    <x v="702"/>
    <x v="408"/>
    <x v="69"/>
    <n v="83740"/>
    <x v="3"/>
    <x v="1"/>
    <x v="25"/>
  </r>
  <r>
    <s v="CUST0704"/>
    <s v="Shayak Madan"/>
    <n v="37"/>
    <x v="0"/>
    <x v="7"/>
    <x v="2"/>
    <x v="703"/>
    <x v="703"/>
    <x v="409"/>
    <x v="376"/>
    <n v="178159"/>
    <x v="0"/>
    <x v="1"/>
    <x v="25"/>
  </r>
  <r>
    <s v="CUST0705"/>
    <s v="Shanaya Koshy"/>
    <n v="40"/>
    <x v="0"/>
    <x v="4"/>
    <x v="1"/>
    <x v="704"/>
    <x v="704"/>
    <x v="122"/>
    <x v="377"/>
    <n v="71224"/>
    <x v="1"/>
    <x v="1"/>
    <x v="10"/>
  </r>
  <r>
    <s v="CUST0706"/>
    <s v="Yuvraj  Thakkar"/>
    <n v="57"/>
    <x v="0"/>
    <x v="4"/>
    <x v="2"/>
    <x v="705"/>
    <x v="705"/>
    <x v="85"/>
    <x v="146"/>
    <n v="98546"/>
    <x v="0"/>
    <x v="0"/>
    <x v="39"/>
  </r>
  <r>
    <s v="CUST0707"/>
    <s v="Vedika Chana"/>
    <n v="62"/>
    <x v="1"/>
    <x v="0"/>
    <x v="2"/>
    <x v="706"/>
    <x v="706"/>
    <x v="410"/>
    <x v="171"/>
    <n v="80364"/>
    <x v="2"/>
    <x v="0"/>
    <x v="28"/>
  </r>
  <r>
    <s v="CUST0708"/>
    <s v="Adah Samra"/>
    <n v="70"/>
    <x v="1"/>
    <x v="4"/>
    <x v="2"/>
    <x v="707"/>
    <x v="707"/>
    <x v="411"/>
    <x v="182"/>
    <n v="21763"/>
    <x v="1"/>
    <x v="0"/>
    <x v="19"/>
  </r>
  <r>
    <s v="CUST0709"/>
    <s v="Krish Issac"/>
    <n v="19"/>
    <x v="0"/>
    <x v="3"/>
    <x v="2"/>
    <x v="708"/>
    <x v="708"/>
    <x v="412"/>
    <x v="378"/>
    <n v="72198"/>
    <x v="0"/>
    <x v="0"/>
    <x v="31"/>
  </r>
  <r>
    <s v="CUST0710"/>
    <s v="Amira Roy"/>
    <n v="34"/>
    <x v="0"/>
    <x v="5"/>
    <x v="2"/>
    <x v="709"/>
    <x v="709"/>
    <x v="288"/>
    <x v="379"/>
    <n v="46526"/>
    <x v="1"/>
    <x v="1"/>
    <x v="28"/>
  </r>
  <r>
    <s v="CUST0711"/>
    <s v="Veer Bawa"/>
    <n v="33"/>
    <x v="1"/>
    <x v="2"/>
    <x v="0"/>
    <x v="710"/>
    <x v="710"/>
    <x v="110"/>
    <x v="267"/>
    <n v="116899"/>
    <x v="3"/>
    <x v="0"/>
    <x v="35"/>
  </r>
  <r>
    <s v="CUST0712"/>
    <s v="Rati Madan"/>
    <n v="68"/>
    <x v="0"/>
    <x v="7"/>
    <x v="2"/>
    <x v="711"/>
    <x v="711"/>
    <x v="116"/>
    <x v="167"/>
    <n v="69713"/>
    <x v="1"/>
    <x v="0"/>
    <x v="12"/>
  </r>
  <r>
    <s v="CUST0713"/>
    <s v="Vanya Mandal"/>
    <n v="38"/>
    <x v="1"/>
    <x v="1"/>
    <x v="0"/>
    <x v="712"/>
    <x v="712"/>
    <x v="230"/>
    <x v="147"/>
    <n v="84794"/>
    <x v="2"/>
    <x v="0"/>
    <x v="36"/>
  </r>
  <r>
    <s v="CUST0714"/>
    <s v="Purab Gill"/>
    <n v="28"/>
    <x v="1"/>
    <x v="3"/>
    <x v="3"/>
    <x v="713"/>
    <x v="713"/>
    <x v="413"/>
    <x v="76"/>
    <n v="153330"/>
    <x v="1"/>
    <x v="1"/>
    <x v="36"/>
  </r>
  <r>
    <s v="CUST0715"/>
    <s v="Taran Chaudry"/>
    <n v="63"/>
    <x v="0"/>
    <x v="1"/>
    <x v="1"/>
    <x v="714"/>
    <x v="714"/>
    <x v="414"/>
    <x v="207"/>
    <n v="149706"/>
    <x v="3"/>
    <x v="1"/>
    <x v="20"/>
  </r>
  <r>
    <s v="CUST0716"/>
    <s v="Vidur Goswami"/>
    <n v="31"/>
    <x v="1"/>
    <x v="2"/>
    <x v="2"/>
    <x v="715"/>
    <x v="715"/>
    <x v="415"/>
    <x v="109"/>
    <n v="100215"/>
    <x v="0"/>
    <x v="1"/>
    <x v="40"/>
  </r>
  <r>
    <s v="CUST0717"/>
    <s v="Samar Kothari"/>
    <n v="46"/>
    <x v="1"/>
    <x v="4"/>
    <x v="1"/>
    <x v="716"/>
    <x v="716"/>
    <x v="37"/>
    <x v="380"/>
    <n v="156005"/>
    <x v="2"/>
    <x v="1"/>
    <x v="26"/>
  </r>
  <r>
    <s v="CUST0718"/>
    <s v="Anahi Gulati"/>
    <n v="41"/>
    <x v="1"/>
    <x v="2"/>
    <x v="3"/>
    <x v="717"/>
    <x v="717"/>
    <x v="361"/>
    <x v="198"/>
    <n v="230896"/>
    <x v="0"/>
    <x v="1"/>
    <x v="3"/>
  </r>
  <r>
    <s v="CUST0719"/>
    <s v="Nakul Bakshi"/>
    <n v="50"/>
    <x v="0"/>
    <x v="2"/>
    <x v="3"/>
    <x v="718"/>
    <x v="718"/>
    <x v="42"/>
    <x v="381"/>
    <n v="154425"/>
    <x v="0"/>
    <x v="0"/>
    <x v="2"/>
  </r>
  <r>
    <s v="CUST0720"/>
    <s v="Dharmajan Tak"/>
    <n v="39"/>
    <x v="0"/>
    <x v="6"/>
    <x v="0"/>
    <x v="719"/>
    <x v="719"/>
    <x v="416"/>
    <x v="280"/>
    <n v="71549"/>
    <x v="1"/>
    <x v="1"/>
    <x v="32"/>
  </r>
  <r>
    <s v="CUST0721"/>
    <s v="Manikya Roy"/>
    <n v="70"/>
    <x v="0"/>
    <x v="4"/>
    <x v="2"/>
    <x v="720"/>
    <x v="720"/>
    <x v="276"/>
    <x v="382"/>
    <n v="110867"/>
    <x v="2"/>
    <x v="0"/>
    <x v="25"/>
  </r>
  <r>
    <s v="CUST0722"/>
    <s v="Raghav Warrior"/>
    <n v="32"/>
    <x v="1"/>
    <x v="4"/>
    <x v="3"/>
    <x v="721"/>
    <x v="721"/>
    <x v="379"/>
    <x v="224"/>
    <n v="209618"/>
    <x v="0"/>
    <x v="1"/>
    <x v="28"/>
  </r>
  <r>
    <s v="CUST0723"/>
    <s v="Shayak Kara"/>
    <n v="30"/>
    <x v="0"/>
    <x v="5"/>
    <x v="2"/>
    <x v="722"/>
    <x v="722"/>
    <x v="327"/>
    <x v="383"/>
    <n v="132405"/>
    <x v="3"/>
    <x v="1"/>
    <x v="3"/>
  </r>
  <r>
    <s v="CUST0724"/>
    <s v="Renee Dass"/>
    <n v="65"/>
    <x v="1"/>
    <x v="0"/>
    <x v="3"/>
    <x v="723"/>
    <x v="723"/>
    <x v="5"/>
    <x v="210"/>
    <n v="22537"/>
    <x v="1"/>
    <x v="0"/>
    <x v="2"/>
  </r>
  <r>
    <s v="CUST0725"/>
    <s v="Aarav Bora"/>
    <n v="54"/>
    <x v="1"/>
    <x v="0"/>
    <x v="2"/>
    <x v="724"/>
    <x v="724"/>
    <x v="252"/>
    <x v="314"/>
    <n v="225876"/>
    <x v="2"/>
    <x v="0"/>
    <x v="26"/>
  </r>
  <r>
    <s v="CUST0726"/>
    <s v="Ira Lall"/>
    <n v="52"/>
    <x v="1"/>
    <x v="2"/>
    <x v="2"/>
    <x v="725"/>
    <x v="725"/>
    <x v="241"/>
    <x v="320"/>
    <n v="121301"/>
    <x v="0"/>
    <x v="0"/>
    <x v="3"/>
  </r>
  <r>
    <s v="CUST0727"/>
    <s v="Kartik Dayal"/>
    <n v="20"/>
    <x v="1"/>
    <x v="6"/>
    <x v="2"/>
    <x v="726"/>
    <x v="726"/>
    <x v="417"/>
    <x v="277"/>
    <n v="236655"/>
    <x v="3"/>
    <x v="1"/>
    <x v="10"/>
  </r>
  <r>
    <s v="CUST0728"/>
    <s v="Indranil Loyal"/>
    <n v="60"/>
    <x v="1"/>
    <x v="0"/>
    <x v="2"/>
    <x v="727"/>
    <x v="727"/>
    <x v="418"/>
    <x v="384"/>
    <n v="157467"/>
    <x v="0"/>
    <x v="0"/>
    <x v="31"/>
  </r>
  <r>
    <s v="CUST0729"/>
    <s v="Anya Warrior"/>
    <n v="52"/>
    <x v="1"/>
    <x v="0"/>
    <x v="1"/>
    <x v="728"/>
    <x v="728"/>
    <x v="318"/>
    <x v="103"/>
    <n v="129684"/>
    <x v="3"/>
    <x v="1"/>
    <x v="7"/>
  </r>
  <r>
    <s v="CUST0730"/>
    <s v="Charvi Dash"/>
    <n v="55"/>
    <x v="0"/>
    <x v="4"/>
    <x v="0"/>
    <x v="729"/>
    <x v="729"/>
    <x v="310"/>
    <x v="233"/>
    <n v="73208"/>
    <x v="2"/>
    <x v="0"/>
    <x v="9"/>
  </r>
  <r>
    <s v="CUST0731"/>
    <s v="Saksham Bora"/>
    <n v="51"/>
    <x v="0"/>
    <x v="6"/>
    <x v="1"/>
    <x v="730"/>
    <x v="730"/>
    <x v="419"/>
    <x v="108"/>
    <n v="106216"/>
    <x v="1"/>
    <x v="1"/>
    <x v="25"/>
  </r>
  <r>
    <s v="CUST0732"/>
    <s v="Prerak Tara"/>
    <n v="43"/>
    <x v="1"/>
    <x v="4"/>
    <x v="1"/>
    <x v="731"/>
    <x v="731"/>
    <x v="84"/>
    <x v="18"/>
    <n v="180701"/>
    <x v="3"/>
    <x v="0"/>
    <x v="31"/>
  </r>
  <r>
    <s v="CUST0733"/>
    <s v="Charvi Dhawan"/>
    <n v="43"/>
    <x v="1"/>
    <x v="2"/>
    <x v="2"/>
    <x v="732"/>
    <x v="732"/>
    <x v="206"/>
    <x v="223"/>
    <n v="203145"/>
    <x v="2"/>
    <x v="1"/>
    <x v="7"/>
  </r>
  <r>
    <s v="CUST0734"/>
    <s v="Riya Dani"/>
    <n v="66"/>
    <x v="1"/>
    <x v="0"/>
    <x v="1"/>
    <x v="733"/>
    <x v="733"/>
    <x v="420"/>
    <x v="347"/>
    <n v="164919"/>
    <x v="3"/>
    <x v="1"/>
    <x v="28"/>
  </r>
  <r>
    <s v="CUST0735"/>
    <s v="Baiju Bhandari"/>
    <n v="31"/>
    <x v="1"/>
    <x v="1"/>
    <x v="1"/>
    <x v="734"/>
    <x v="734"/>
    <x v="421"/>
    <x v="249"/>
    <n v="152661"/>
    <x v="0"/>
    <x v="0"/>
    <x v="18"/>
  </r>
  <r>
    <s v="CUST0736"/>
    <s v="Nirvi Sethi"/>
    <n v="34"/>
    <x v="0"/>
    <x v="1"/>
    <x v="1"/>
    <x v="735"/>
    <x v="735"/>
    <x v="209"/>
    <x v="294"/>
    <n v="50063"/>
    <x v="3"/>
    <x v="1"/>
    <x v="3"/>
  </r>
  <r>
    <s v="CUST0737"/>
    <s v="Zaina Bandi"/>
    <n v="70"/>
    <x v="1"/>
    <x v="2"/>
    <x v="1"/>
    <x v="736"/>
    <x v="736"/>
    <x v="422"/>
    <x v="138"/>
    <n v="93175"/>
    <x v="3"/>
    <x v="0"/>
    <x v="23"/>
  </r>
  <r>
    <s v="CUST0738"/>
    <s v="Miraya Chacko"/>
    <n v="60"/>
    <x v="0"/>
    <x v="1"/>
    <x v="1"/>
    <x v="737"/>
    <x v="737"/>
    <x v="114"/>
    <x v="385"/>
    <n v="220170"/>
    <x v="0"/>
    <x v="0"/>
    <x v="31"/>
  </r>
  <r>
    <s v="CUST0739"/>
    <s v="Arhaan Sood"/>
    <n v="42"/>
    <x v="0"/>
    <x v="1"/>
    <x v="3"/>
    <x v="738"/>
    <x v="738"/>
    <x v="243"/>
    <x v="340"/>
    <n v="200970"/>
    <x v="3"/>
    <x v="0"/>
    <x v="28"/>
  </r>
  <r>
    <s v="CUST0740"/>
    <s v="Ahana  Choudhury"/>
    <n v="23"/>
    <x v="0"/>
    <x v="1"/>
    <x v="0"/>
    <x v="739"/>
    <x v="739"/>
    <x v="423"/>
    <x v="382"/>
    <n v="24204"/>
    <x v="3"/>
    <x v="0"/>
    <x v="11"/>
  </r>
  <r>
    <s v="CUST0741"/>
    <s v="Devansh Gola"/>
    <n v="20"/>
    <x v="0"/>
    <x v="0"/>
    <x v="1"/>
    <x v="740"/>
    <x v="740"/>
    <x v="105"/>
    <x v="386"/>
    <n v="128968"/>
    <x v="0"/>
    <x v="0"/>
    <x v="26"/>
  </r>
  <r>
    <s v="CUST0742"/>
    <s v="Saanvi Chanda"/>
    <n v="31"/>
    <x v="1"/>
    <x v="1"/>
    <x v="1"/>
    <x v="741"/>
    <x v="741"/>
    <x v="350"/>
    <x v="297"/>
    <n v="47757"/>
    <x v="3"/>
    <x v="0"/>
    <x v="27"/>
  </r>
  <r>
    <s v="CUST0743"/>
    <s v="Yasmin Lata"/>
    <n v="60"/>
    <x v="1"/>
    <x v="6"/>
    <x v="1"/>
    <x v="742"/>
    <x v="742"/>
    <x v="3"/>
    <x v="387"/>
    <n v="233669"/>
    <x v="0"/>
    <x v="0"/>
    <x v="7"/>
  </r>
  <r>
    <s v="CUST0744"/>
    <s v="Mahika Datta"/>
    <n v="34"/>
    <x v="0"/>
    <x v="5"/>
    <x v="2"/>
    <x v="743"/>
    <x v="743"/>
    <x v="306"/>
    <x v="94"/>
    <n v="44836"/>
    <x v="1"/>
    <x v="1"/>
    <x v="37"/>
  </r>
  <r>
    <s v="CUST0745"/>
    <s v="Armaan Tella"/>
    <n v="22"/>
    <x v="0"/>
    <x v="7"/>
    <x v="2"/>
    <x v="744"/>
    <x v="744"/>
    <x v="398"/>
    <x v="249"/>
    <n v="107845"/>
    <x v="0"/>
    <x v="0"/>
    <x v="36"/>
  </r>
  <r>
    <s v="CUST0746"/>
    <s v="Khushi Batta"/>
    <n v="37"/>
    <x v="1"/>
    <x v="6"/>
    <x v="2"/>
    <x v="745"/>
    <x v="745"/>
    <x v="294"/>
    <x v="271"/>
    <n v="81969"/>
    <x v="3"/>
    <x v="1"/>
    <x v="29"/>
  </r>
  <r>
    <s v="CUST0747"/>
    <s v="Jayan Garde"/>
    <n v="31"/>
    <x v="0"/>
    <x v="6"/>
    <x v="3"/>
    <x v="746"/>
    <x v="746"/>
    <x v="424"/>
    <x v="244"/>
    <n v="188306"/>
    <x v="0"/>
    <x v="1"/>
    <x v="7"/>
  </r>
  <r>
    <s v="CUST0748"/>
    <s v="Saira Soni"/>
    <n v="59"/>
    <x v="0"/>
    <x v="1"/>
    <x v="2"/>
    <x v="747"/>
    <x v="747"/>
    <x v="223"/>
    <x v="388"/>
    <n v="233047"/>
    <x v="2"/>
    <x v="1"/>
    <x v="13"/>
  </r>
  <r>
    <s v="CUST0749"/>
    <s v="Amira Gokhale"/>
    <n v="29"/>
    <x v="0"/>
    <x v="3"/>
    <x v="2"/>
    <x v="748"/>
    <x v="748"/>
    <x v="67"/>
    <x v="389"/>
    <n v="135962"/>
    <x v="3"/>
    <x v="0"/>
    <x v="34"/>
  </r>
  <r>
    <s v="CUST0750"/>
    <s v="Amani Lad"/>
    <n v="29"/>
    <x v="1"/>
    <x v="4"/>
    <x v="3"/>
    <x v="749"/>
    <x v="749"/>
    <x v="425"/>
    <x v="350"/>
    <n v="175354"/>
    <x v="3"/>
    <x v="0"/>
    <x v="36"/>
  </r>
  <r>
    <s v="CUST0751"/>
    <s v="Taran Dalal"/>
    <n v="33"/>
    <x v="0"/>
    <x v="6"/>
    <x v="1"/>
    <x v="750"/>
    <x v="750"/>
    <x v="126"/>
    <x v="262"/>
    <n v="131153"/>
    <x v="0"/>
    <x v="1"/>
    <x v="3"/>
  </r>
  <r>
    <s v="CUST0752"/>
    <s v="Ranbir Chacko"/>
    <n v="43"/>
    <x v="0"/>
    <x v="4"/>
    <x v="0"/>
    <x v="751"/>
    <x v="751"/>
    <x v="426"/>
    <x v="240"/>
    <n v="119016"/>
    <x v="2"/>
    <x v="1"/>
    <x v="0"/>
  </r>
  <r>
    <s v="CUST0753"/>
    <s v="Ryan Singhal"/>
    <n v="23"/>
    <x v="0"/>
    <x v="6"/>
    <x v="1"/>
    <x v="752"/>
    <x v="752"/>
    <x v="427"/>
    <x v="106"/>
    <n v="218930"/>
    <x v="2"/>
    <x v="1"/>
    <x v="33"/>
  </r>
  <r>
    <s v="CUST0754"/>
    <s v="Amira Shanker"/>
    <n v="47"/>
    <x v="1"/>
    <x v="1"/>
    <x v="2"/>
    <x v="753"/>
    <x v="753"/>
    <x v="292"/>
    <x v="390"/>
    <n v="94245"/>
    <x v="3"/>
    <x v="0"/>
    <x v="19"/>
  </r>
  <r>
    <s v="CUST0755"/>
    <s v="Advik Kala"/>
    <n v="18"/>
    <x v="1"/>
    <x v="5"/>
    <x v="1"/>
    <x v="754"/>
    <x v="754"/>
    <x v="67"/>
    <x v="391"/>
    <n v="245877"/>
    <x v="2"/>
    <x v="1"/>
    <x v="37"/>
  </r>
  <r>
    <s v="CUST0756"/>
    <s v="Amira Sachdev"/>
    <n v="59"/>
    <x v="0"/>
    <x v="1"/>
    <x v="1"/>
    <x v="755"/>
    <x v="755"/>
    <x v="196"/>
    <x v="73"/>
    <n v="174221"/>
    <x v="1"/>
    <x v="1"/>
    <x v="37"/>
  </r>
  <r>
    <s v="CUST0757"/>
    <s v="Darshit Sheth"/>
    <n v="50"/>
    <x v="1"/>
    <x v="1"/>
    <x v="2"/>
    <x v="756"/>
    <x v="756"/>
    <x v="242"/>
    <x v="130"/>
    <n v="205893"/>
    <x v="2"/>
    <x v="0"/>
    <x v="16"/>
  </r>
  <r>
    <s v="CUST0758"/>
    <s v="Oorja Samra"/>
    <n v="70"/>
    <x v="0"/>
    <x v="6"/>
    <x v="2"/>
    <x v="757"/>
    <x v="757"/>
    <x v="359"/>
    <x v="237"/>
    <n v="114742"/>
    <x v="3"/>
    <x v="0"/>
    <x v="12"/>
  </r>
  <r>
    <s v="CUST0759"/>
    <s v="Elakshi Ramesh"/>
    <n v="25"/>
    <x v="0"/>
    <x v="1"/>
    <x v="1"/>
    <x v="758"/>
    <x v="758"/>
    <x v="81"/>
    <x v="392"/>
    <n v="222105"/>
    <x v="3"/>
    <x v="1"/>
    <x v="32"/>
  </r>
  <r>
    <s v="CUST0760"/>
    <s v="Rania Dey"/>
    <n v="34"/>
    <x v="1"/>
    <x v="2"/>
    <x v="0"/>
    <x v="759"/>
    <x v="759"/>
    <x v="428"/>
    <x v="224"/>
    <n v="201360"/>
    <x v="1"/>
    <x v="0"/>
    <x v="4"/>
  </r>
  <r>
    <s v="CUST0761"/>
    <s v="Adira Sastry"/>
    <n v="35"/>
    <x v="1"/>
    <x v="7"/>
    <x v="0"/>
    <x v="760"/>
    <x v="760"/>
    <x v="140"/>
    <x v="393"/>
    <n v="216275"/>
    <x v="0"/>
    <x v="1"/>
    <x v="38"/>
  </r>
  <r>
    <s v="CUST0762"/>
    <s v="Aaina Ramanathan"/>
    <n v="51"/>
    <x v="0"/>
    <x v="1"/>
    <x v="1"/>
    <x v="761"/>
    <x v="761"/>
    <x v="355"/>
    <x v="270"/>
    <n v="129272"/>
    <x v="3"/>
    <x v="0"/>
    <x v="16"/>
  </r>
  <r>
    <s v="CUST0763"/>
    <s v="Stuvan Kothari"/>
    <n v="46"/>
    <x v="0"/>
    <x v="6"/>
    <x v="1"/>
    <x v="762"/>
    <x v="762"/>
    <x v="20"/>
    <x v="189"/>
    <n v="168659"/>
    <x v="2"/>
    <x v="0"/>
    <x v="31"/>
  </r>
  <r>
    <s v="CUST0764"/>
    <s v="Saksham Loyal"/>
    <n v="58"/>
    <x v="0"/>
    <x v="1"/>
    <x v="1"/>
    <x v="763"/>
    <x v="763"/>
    <x v="196"/>
    <x v="252"/>
    <n v="63548"/>
    <x v="2"/>
    <x v="0"/>
    <x v="10"/>
  </r>
  <r>
    <s v="CUST0765"/>
    <s v="Yakshit Seshadri"/>
    <n v="18"/>
    <x v="0"/>
    <x v="1"/>
    <x v="0"/>
    <x v="764"/>
    <x v="764"/>
    <x v="149"/>
    <x v="353"/>
    <n v="36005"/>
    <x v="2"/>
    <x v="1"/>
    <x v="35"/>
  </r>
  <r>
    <s v="CUST0766"/>
    <s v="Ojas Sama"/>
    <n v="49"/>
    <x v="1"/>
    <x v="5"/>
    <x v="2"/>
    <x v="765"/>
    <x v="765"/>
    <x v="429"/>
    <x v="213"/>
    <n v="144054"/>
    <x v="1"/>
    <x v="1"/>
    <x v="5"/>
  </r>
  <r>
    <s v="CUST0767"/>
    <s v="Zoya Krish"/>
    <n v="42"/>
    <x v="1"/>
    <x v="0"/>
    <x v="2"/>
    <x v="766"/>
    <x v="766"/>
    <x v="252"/>
    <x v="394"/>
    <n v="180119"/>
    <x v="0"/>
    <x v="0"/>
    <x v="23"/>
  </r>
  <r>
    <s v="CUST0768"/>
    <s v="Shayak Thakur"/>
    <n v="51"/>
    <x v="1"/>
    <x v="0"/>
    <x v="2"/>
    <x v="767"/>
    <x v="767"/>
    <x v="430"/>
    <x v="82"/>
    <n v="93260"/>
    <x v="0"/>
    <x v="1"/>
    <x v="3"/>
  </r>
  <r>
    <s v="CUST0769"/>
    <s v="Gokul Bedi"/>
    <n v="19"/>
    <x v="1"/>
    <x v="0"/>
    <x v="0"/>
    <x v="768"/>
    <x v="768"/>
    <x v="431"/>
    <x v="94"/>
    <n v="186140"/>
    <x v="1"/>
    <x v="1"/>
    <x v="3"/>
  </r>
  <r>
    <s v="CUST0770"/>
    <s v="Shayak Chaudry"/>
    <n v="48"/>
    <x v="0"/>
    <x v="7"/>
    <x v="2"/>
    <x v="769"/>
    <x v="769"/>
    <x v="175"/>
    <x v="121"/>
    <n v="192579"/>
    <x v="2"/>
    <x v="0"/>
    <x v="12"/>
  </r>
  <r>
    <s v="CUST0771"/>
    <s v="Indrajit Seth"/>
    <n v="37"/>
    <x v="0"/>
    <x v="4"/>
    <x v="2"/>
    <x v="770"/>
    <x v="770"/>
    <x v="432"/>
    <x v="290"/>
    <n v="238196"/>
    <x v="3"/>
    <x v="0"/>
    <x v="6"/>
  </r>
  <r>
    <s v="CUST0772"/>
    <s v="Faiyaz Mallick"/>
    <n v="28"/>
    <x v="0"/>
    <x v="3"/>
    <x v="3"/>
    <x v="771"/>
    <x v="771"/>
    <x v="336"/>
    <x v="50"/>
    <n v="217460"/>
    <x v="2"/>
    <x v="1"/>
    <x v="35"/>
  </r>
  <r>
    <s v="CUST0773"/>
    <s v="Ranbir Kalita"/>
    <n v="32"/>
    <x v="1"/>
    <x v="2"/>
    <x v="3"/>
    <x v="772"/>
    <x v="772"/>
    <x v="257"/>
    <x v="395"/>
    <n v="208527"/>
    <x v="3"/>
    <x v="0"/>
    <x v="19"/>
  </r>
  <r>
    <s v="CUST0774"/>
    <s v="Zoya Kakar"/>
    <n v="59"/>
    <x v="1"/>
    <x v="1"/>
    <x v="2"/>
    <x v="773"/>
    <x v="773"/>
    <x v="74"/>
    <x v="297"/>
    <n v="109974"/>
    <x v="1"/>
    <x v="0"/>
    <x v="1"/>
  </r>
  <r>
    <s v="CUST0775"/>
    <s v="Ivana Dutt"/>
    <n v="36"/>
    <x v="1"/>
    <x v="3"/>
    <x v="3"/>
    <x v="774"/>
    <x v="774"/>
    <x v="386"/>
    <x v="209"/>
    <n v="42984"/>
    <x v="2"/>
    <x v="0"/>
    <x v="34"/>
  </r>
  <r>
    <s v="CUST0776"/>
    <s v="Aradhya Tara"/>
    <n v="37"/>
    <x v="1"/>
    <x v="3"/>
    <x v="2"/>
    <x v="775"/>
    <x v="775"/>
    <x v="306"/>
    <x v="396"/>
    <n v="36222"/>
    <x v="0"/>
    <x v="1"/>
    <x v="27"/>
  </r>
  <r>
    <s v="CUST0777"/>
    <s v="Shanaya Rama"/>
    <n v="18"/>
    <x v="1"/>
    <x v="3"/>
    <x v="3"/>
    <x v="776"/>
    <x v="776"/>
    <x v="433"/>
    <x v="319"/>
    <n v="161110"/>
    <x v="3"/>
    <x v="0"/>
    <x v="2"/>
  </r>
  <r>
    <s v="CUST0778"/>
    <s v="Saira Tata"/>
    <n v="56"/>
    <x v="1"/>
    <x v="1"/>
    <x v="1"/>
    <x v="777"/>
    <x v="777"/>
    <x v="257"/>
    <x v="223"/>
    <n v="103922"/>
    <x v="1"/>
    <x v="1"/>
    <x v="35"/>
  </r>
  <r>
    <s v="CUST0779"/>
    <s v="Nitara Banerjee"/>
    <n v="21"/>
    <x v="0"/>
    <x v="7"/>
    <x v="2"/>
    <x v="778"/>
    <x v="778"/>
    <x v="26"/>
    <x v="397"/>
    <n v="232391"/>
    <x v="2"/>
    <x v="1"/>
    <x v="0"/>
  </r>
  <r>
    <s v="CUST0780"/>
    <s v="Mohanlal Gole"/>
    <n v="37"/>
    <x v="1"/>
    <x v="4"/>
    <x v="3"/>
    <x v="779"/>
    <x v="779"/>
    <x v="434"/>
    <x v="239"/>
    <n v="233650"/>
    <x v="2"/>
    <x v="1"/>
    <x v="21"/>
  </r>
  <r>
    <s v="CUST0781"/>
    <s v="Rania Shanker"/>
    <n v="22"/>
    <x v="1"/>
    <x v="2"/>
    <x v="2"/>
    <x v="780"/>
    <x v="780"/>
    <x v="435"/>
    <x v="398"/>
    <n v="158371"/>
    <x v="1"/>
    <x v="0"/>
    <x v="40"/>
  </r>
  <r>
    <s v="CUST0782"/>
    <s v="Pihu Wali"/>
    <n v="63"/>
    <x v="1"/>
    <x v="3"/>
    <x v="2"/>
    <x v="781"/>
    <x v="781"/>
    <x v="83"/>
    <x v="36"/>
    <n v="99711"/>
    <x v="3"/>
    <x v="0"/>
    <x v="32"/>
  </r>
  <r>
    <s v="CUST0783"/>
    <s v="Onkar Choudhry"/>
    <n v="65"/>
    <x v="0"/>
    <x v="0"/>
    <x v="1"/>
    <x v="782"/>
    <x v="782"/>
    <x v="103"/>
    <x v="399"/>
    <n v="190718"/>
    <x v="3"/>
    <x v="0"/>
    <x v="5"/>
  </r>
  <r>
    <s v="CUST0784"/>
    <s v="Advika Bala"/>
    <n v="24"/>
    <x v="1"/>
    <x v="0"/>
    <x v="2"/>
    <x v="783"/>
    <x v="783"/>
    <x v="436"/>
    <x v="152"/>
    <n v="113214"/>
    <x v="2"/>
    <x v="0"/>
    <x v="38"/>
  </r>
  <r>
    <s v="CUST0785"/>
    <s v="Shayak Bail"/>
    <n v="20"/>
    <x v="0"/>
    <x v="4"/>
    <x v="1"/>
    <x v="784"/>
    <x v="784"/>
    <x v="437"/>
    <x v="297"/>
    <n v="51143"/>
    <x v="1"/>
    <x v="1"/>
    <x v="8"/>
  </r>
  <r>
    <s v="CUST0786"/>
    <s v="Dhruv Sahota"/>
    <n v="41"/>
    <x v="0"/>
    <x v="7"/>
    <x v="1"/>
    <x v="785"/>
    <x v="785"/>
    <x v="165"/>
    <x v="87"/>
    <n v="23041"/>
    <x v="1"/>
    <x v="0"/>
    <x v="5"/>
  </r>
  <r>
    <s v="CUST0787"/>
    <s v="Dhanush Gaba"/>
    <n v="68"/>
    <x v="0"/>
    <x v="5"/>
    <x v="0"/>
    <x v="786"/>
    <x v="786"/>
    <x v="203"/>
    <x v="186"/>
    <n v="175419"/>
    <x v="3"/>
    <x v="1"/>
    <x v="25"/>
  </r>
  <r>
    <s v="CUST0788"/>
    <s v="Arhaan Das"/>
    <n v="70"/>
    <x v="1"/>
    <x v="2"/>
    <x v="0"/>
    <x v="787"/>
    <x v="787"/>
    <x v="438"/>
    <x v="400"/>
    <n v="203695"/>
    <x v="3"/>
    <x v="0"/>
    <x v="39"/>
  </r>
  <r>
    <s v="CUST0789"/>
    <s v="Stuvan Sehgal"/>
    <n v="29"/>
    <x v="0"/>
    <x v="7"/>
    <x v="2"/>
    <x v="788"/>
    <x v="788"/>
    <x v="439"/>
    <x v="122"/>
    <n v="245969"/>
    <x v="3"/>
    <x v="0"/>
    <x v="39"/>
  </r>
  <r>
    <s v="CUST0790"/>
    <s v="Tejas Handa"/>
    <n v="23"/>
    <x v="1"/>
    <x v="3"/>
    <x v="1"/>
    <x v="789"/>
    <x v="789"/>
    <x v="375"/>
    <x v="338"/>
    <n v="167455"/>
    <x v="0"/>
    <x v="0"/>
    <x v="36"/>
  </r>
  <r>
    <s v="CUST0791"/>
    <s v="Biju Balan"/>
    <n v="37"/>
    <x v="0"/>
    <x v="4"/>
    <x v="3"/>
    <x v="790"/>
    <x v="790"/>
    <x v="265"/>
    <x v="17"/>
    <n v="32102"/>
    <x v="1"/>
    <x v="0"/>
    <x v="24"/>
  </r>
  <r>
    <s v="CUST0792"/>
    <s v="Anay Dash"/>
    <n v="62"/>
    <x v="0"/>
    <x v="3"/>
    <x v="2"/>
    <x v="791"/>
    <x v="791"/>
    <x v="378"/>
    <x v="333"/>
    <n v="45954"/>
    <x v="1"/>
    <x v="1"/>
    <x v="29"/>
  </r>
  <r>
    <s v="CUST0793"/>
    <s v="Nishith Kamdar"/>
    <n v="26"/>
    <x v="0"/>
    <x v="0"/>
    <x v="1"/>
    <x v="792"/>
    <x v="792"/>
    <x v="245"/>
    <x v="237"/>
    <n v="211130"/>
    <x v="0"/>
    <x v="1"/>
    <x v="16"/>
  </r>
  <r>
    <s v="CUST0794"/>
    <s v="Shalv Sankaran"/>
    <n v="61"/>
    <x v="1"/>
    <x v="1"/>
    <x v="3"/>
    <x v="793"/>
    <x v="793"/>
    <x v="142"/>
    <x v="401"/>
    <n v="131501"/>
    <x v="3"/>
    <x v="1"/>
    <x v="26"/>
  </r>
  <r>
    <s v="CUST0795"/>
    <s v="Onkar Hari"/>
    <n v="70"/>
    <x v="0"/>
    <x v="2"/>
    <x v="3"/>
    <x v="794"/>
    <x v="794"/>
    <x v="288"/>
    <x v="205"/>
    <n v="60236"/>
    <x v="0"/>
    <x v="0"/>
    <x v="38"/>
  </r>
  <r>
    <s v="CUST0796"/>
    <s v="Yashvi Buch"/>
    <n v="61"/>
    <x v="1"/>
    <x v="3"/>
    <x v="2"/>
    <x v="795"/>
    <x v="795"/>
    <x v="440"/>
    <x v="351"/>
    <n v="163751"/>
    <x v="1"/>
    <x v="0"/>
    <x v="6"/>
  </r>
  <r>
    <s v="CUST0797"/>
    <s v="Rasha Sharaf"/>
    <n v="24"/>
    <x v="0"/>
    <x v="6"/>
    <x v="1"/>
    <x v="796"/>
    <x v="796"/>
    <x v="420"/>
    <x v="335"/>
    <n v="118869"/>
    <x v="0"/>
    <x v="1"/>
    <x v="37"/>
  </r>
  <r>
    <s v="CUST0798"/>
    <s v="Arhaan Ram"/>
    <n v="62"/>
    <x v="1"/>
    <x v="0"/>
    <x v="2"/>
    <x v="797"/>
    <x v="797"/>
    <x v="88"/>
    <x v="219"/>
    <n v="169987"/>
    <x v="1"/>
    <x v="1"/>
    <x v="15"/>
  </r>
  <r>
    <s v="CUST0799"/>
    <s v="Kartik Thaman"/>
    <n v="48"/>
    <x v="0"/>
    <x v="3"/>
    <x v="1"/>
    <x v="798"/>
    <x v="798"/>
    <x v="441"/>
    <x v="355"/>
    <n v="175270"/>
    <x v="1"/>
    <x v="0"/>
    <x v="29"/>
  </r>
  <r>
    <s v="CUST0800"/>
    <s v="Neelofar Master"/>
    <n v="64"/>
    <x v="1"/>
    <x v="3"/>
    <x v="1"/>
    <x v="799"/>
    <x v="799"/>
    <x v="311"/>
    <x v="94"/>
    <n v="187560"/>
    <x v="1"/>
    <x v="1"/>
    <x v="12"/>
  </r>
  <r>
    <s v="CUST0801"/>
    <s v="Kabir Borde"/>
    <n v="50"/>
    <x v="0"/>
    <x v="6"/>
    <x v="1"/>
    <x v="800"/>
    <x v="800"/>
    <x v="279"/>
    <x v="369"/>
    <n v="95188"/>
    <x v="1"/>
    <x v="0"/>
    <x v="26"/>
  </r>
  <r>
    <s v="CUST0802"/>
    <s v="Indrajit Mander"/>
    <n v="58"/>
    <x v="0"/>
    <x v="6"/>
    <x v="1"/>
    <x v="801"/>
    <x v="801"/>
    <x v="226"/>
    <x v="20"/>
    <n v="40833"/>
    <x v="0"/>
    <x v="1"/>
    <x v="25"/>
  </r>
  <r>
    <s v="CUST0803"/>
    <s v="Darshit Sridhar"/>
    <n v="61"/>
    <x v="0"/>
    <x v="0"/>
    <x v="0"/>
    <x v="802"/>
    <x v="802"/>
    <x v="442"/>
    <x v="16"/>
    <n v="153348"/>
    <x v="3"/>
    <x v="0"/>
    <x v="5"/>
  </r>
  <r>
    <s v="CUST0804"/>
    <s v="Ahana  Gill"/>
    <n v="63"/>
    <x v="0"/>
    <x v="4"/>
    <x v="2"/>
    <x v="803"/>
    <x v="803"/>
    <x v="443"/>
    <x v="244"/>
    <n v="131405"/>
    <x v="3"/>
    <x v="0"/>
    <x v="1"/>
  </r>
  <r>
    <s v="CUST0805"/>
    <s v="Prerak Dugar"/>
    <n v="22"/>
    <x v="0"/>
    <x v="5"/>
    <x v="0"/>
    <x v="804"/>
    <x v="804"/>
    <x v="60"/>
    <x v="396"/>
    <n v="116220"/>
    <x v="1"/>
    <x v="0"/>
    <x v="36"/>
  </r>
  <r>
    <s v="CUST0806"/>
    <s v="Samarth Bandi"/>
    <n v="52"/>
    <x v="0"/>
    <x v="7"/>
    <x v="1"/>
    <x v="805"/>
    <x v="805"/>
    <x v="444"/>
    <x v="176"/>
    <n v="243026"/>
    <x v="3"/>
    <x v="1"/>
    <x v="4"/>
  </r>
  <r>
    <s v="CUST0807"/>
    <s v="Nirvaan Khalsa"/>
    <n v="59"/>
    <x v="1"/>
    <x v="7"/>
    <x v="3"/>
    <x v="806"/>
    <x v="806"/>
    <x v="445"/>
    <x v="402"/>
    <n v="155142"/>
    <x v="0"/>
    <x v="1"/>
    <x v="26"/>
  </r>
  <r>
    <s v="CUST0808"/>
    <s v="Vaibhav Sunder"/>
    <n v="39"/>
    <x v="0"/>
    <x v="0"/>
    <x v="1"/>
    <x v="807"/>
    <x v="807"/>
    <x v="446"/>
    <x v="263"/>
    <n v="98210"/>
    <x v="3"/>
    <x v="0"/>
    <x v="18"/>
  </r>
  <r>
    <s v="CUST0809"/>
    <s v="Siya Bhatt"/>
    <n v="51"/>
    <x v="1"/>
    <x v="1"/>
    <x v="1"/>
    <x v="808"/>
    <x v="808"/>
    <x v="387"/>
    <x v="393"/>
    <n v="154825"/>
    <x v="2"/>
    <x v="1"/>
    <x v="29"/>
  </r>
  <r>
    <s v="CUST0810"/>
    <s v="Ayesha Mangal"/>
    <n v="37"/>
    <x v="1"/>
    <x v="3"/>
    <x v="2"/>
    <x v="809"/>
    <x v="809"/>
    <x v="232"/>
    <x v="257"/>
    <n v="115550"/>
    <x v="1"/>
    <x v="1"/>
    <x v="35"/>
  </r>
  <r>
    <s v="CUST0811"/>
    <s v="Kiara Viswanathan"/>
    <n v="18"/>
    <x v="0"/>
    <x v="0"/>
    <x v="1"/>
    <x v="810"/>
    <x v="810"/>
    <x v="447"/>
    <x v="280"/>
    <n v="114171"/>
    <x v="1"/>
    <x v="0"/>
    <x v="17"/>
  </r>
  <r>
    <s v="CUST0812"/>
    <s v="Chirag Mammen"/>
    <n v="28"/>
    <x v="1"/>
    <x v="3"/>
    <x v="3"/>
    <x v="811"/>
    <x v="811"/>
    <x v="448"/>
    <x v="152"/>
    <n v="194641"/>
    <x v="2"/>
    <x v="1"/>
    <x v="14"/>
  </r>
  <r>
    <s v="CUST0813"/>
    <s v="Riaan Varma"/>
    <n v="26"/>
    <x v="0"/>
    <x v="1"/>
    <x v="0"/>
    <x v="812"/>
    <x v="812"/>
    <x v="230"/>
    <x v="2"/>
    <n v="48765"/>
    <x v="1"/>
    <x v="1"/>
    <x v="18"/>
  </r>
  <r>
    <s v="CUST0814"/>
    <s v="Amira Biswas"/>
    <n v="56"/>
    <x v="1"/>
    <x v="1"/>
    <x v="2"/>
    <x v="813"/>
    <x v="813"/>
    <x v="298"/>
    <x v="294"/>
    <n v="213313"/>
    <x v="3"/>
    <x v="0"/>
    <x v="10"/>
  </r>
  <r>
    <s v="CUST0815"/>
    <s v="Rhea Chawla"/>
    <n v="35"/>
    <x v="0"/>
    <x v="4"/>
    <x v="0"/>
    <x v="814"/>
    <x v="814"/>
    <x v="134"/>
    <x v="403"/>
    <n v="220993"/>
    <x v="3"/>
    <x v="0"/>
    <x v="30"/>
  </r>
  <r>
    <s v="CUST0816"/>
    <s v="Kaira Saini"/>
    <n v="55"/>
    <x v="0"/>
    <x v="3"/>
    <x v="1"/>
    <x v="815"/>
    <x v="815"/>
    <x v="236"/>
    <x v="263"/>
    <n v="184864"/>
    <x v="0"/>
    <x v="0"/>
    <x v="15"/>
  </r>
  <r>
    <s v="CUST0817"/>
    <s v="Tejas Buch"/>
    <n v="23"/>
    <x v="0"/>
    <x v="1"/>
    <x v="3"/>
    <x v="816"/>
    <x v="816"/>
    <x v="269"/>
    <x v="398"/>
    <n v="246584"/>
    <x v="2"/>
    <x v="1"/>
    <x v="26"/>
  </r>
  <r>
    <s v="CUST0818"/>
    <s v="Dishani Sood"/>
    <n v="21"/>
    <x v="1"/>
    <x v="0"/>
    <x v="2"/>
    <x v="817"/>
    <x v="817"/>
    <x v="91"/>
    <x v="157"/>
    <n v="153657"/>
    <x v="1"/>
    <x v="0"/>
    <x v="16"/>
  </r>
  <r>
    <s v="CUST0819"/>
    <s v="Shray Bhatia"/>
    <n v="29"/>
    <x v="1"/>
    <x v="2"/>
    <x v="1"/>
    <x v="818"/>
    <x v="818"/>
    <x v="73"/>
    <x v="7"/>
    <n v="30718"/>
    <x v="3"/>
    <x v="1"/>
    <x v="17"/>
  </r>
  <r>
    <s v="CUST0820"/>
    <s v="Devansh Walia"/>
    <n v="49"/>
    <x v="0"/>
    <x v="5"/>
    <x v="3"/>
    <x v="819"/>
    <x v="819"/>
    <x v="449"/>
    <x v="10"/>
    <n v="115310"/>
    <x v="1"/>
    <x v="1"/>
    <x v="33"/>
  </r>
  <r>
    <s v="CUST0821"/>
    <s v="Adah Sridhar"/>
    <n v="33"/>
    <x v="0"/>
    <x v="7"/>
    <x v="2"/>
    <x v="820"/>
    <x v="820"/>
    <x v="127"/>
    <x v="315"/>
    <n v="190458"/>
    <x v="3"/>
    <x v="1"/>
    <x v="23"/>
  </r>
  <r>
    <s v="CUST0822"/>
    <s v="Dharmajan Chhabra"/>
    <n v="24"/>
    <x v="0"/>
    <x v="3"/>
    <x v="0"/>
    <x v="821"/>
    <x v="821"/>
    <x v="367"/>
    <x v="404"/>
    <n v="39629"/>
    <x v="3"/>
    <x v="0"/>
    <x v="22"/>
  </r>
  <r>
    <s v="CUST0823"/>
    <s v="Aayush Bandi"/>
    <n v="44"/>
    <x v="1"/>
    <x v="2"/>
    <x v="1"/>
    <x v="822"/>
    <x v="822"/>
    <x v="450"/>
    <x v="129"/>
    <n v="164309"/>
    <x v="0"/>
    <x v="1"/>
    <x v="6"/>
  </r>
  <r>
    <s v="CUST0824"/>
    <s v="Mannat Char"/>
    <n v="44"/>
    <x v="0"/>
    <x v="6"/>
    <x v="0"/>
    <x v="823"/>
    <x v="823"/>
    <x v="434"/>
    <x v="405"/>
    <n v="157301"/>
    <x v="0"/>
    <x v="0"/>
    <x v="12"/>
  </r>
  <r>
    <s v="CUST0825"/>
    <s v="Anvi Dara"/>
    <n v="65"/>
    <x v="1"/>
    <x v="0"/>
    <x v="1"/>
    <x v="824"/>
    <x v="824"/>
    <x v="441"/>
    <x v="202"/>
    <n v="233525"/>
    <x v="1"/>
    <x v="0"/>
    <x v="31"/>
  </r>
  <r>
    <s v="CUST0826"/>
    <s v="Kabir Bath"/>
    <n v="29"/>
    <x v="1"/>
    <x v="6"/>
    <x v="3"/>
    <x v="825"/>
    <x v="825"/>
    <x v="199"/>
    <x v="222"/>
    <n v="20943"/>
    <x v="3"/>
    <x v="1"/>
    <x v="37"/>
  </r>
  <r>
    <s v="CUST0827"/>
    <s v="Saksham Sahota"/>
    <n v="63"/>
    <x v="0"/>
    <x v="3"/>
    <x v="3"/>
    <x v="826"/>
    <x v="826"/>
    <x v="244"/>
    <x v="158"/>
    <n v="90389"/>
    <x v="3"/>
    <x v="1"/>
    <x v="13"/>
  </r>
  <r>
    <s v="CUST0828"/>
    <s v="Piya Garg"/>
    <n v="68"/>
    <x v="1"/>
    <x v="5"/>
    <x v="3"/>
    <x v="827"/>
    <x v="827"/>
    <x v="26"/>
    <x v="158"/>
    <n v="33505"/>
    <x v="0"/>
    <x v="1"/>
    <x v="19"/>
  </r>
  <r>
    <s v="CUST0829"/>
    <s v="Anika Venkataraman"/>
    <n v="64"/>
    <x v="0"/>
    <x v="5"/>
    <x v="2"/>
    <x v="828"/>
    <x v="828"/>
    <x v="320"/>
    <x v="406"/>
    <n v="55025"/>
    <x v="1"/>
    <x v="0"/>
    <x v="26"/>
  </r>
  <r>
    <s v="CUST0830"/>
    <s v="Samaira Borah"/>
    <n v="34"/>
    <x v="1"/>
    <x v="6"/>
    <x v="2"/>
    <x v="829"/>
    <x v="829"/>
    <x v="414"/>
    <x v="407"/>
    <n v="24099"/>
    <x v="2"/>
    <x v="0"/>
    <x v="0"/>
  </r>
  <r>
    <s v="CUST0831"/>
    <s v="Taran Sane"/>
    <n v="38"/>
    <x v="1"/>
    <x v="5"/>
    <x v="2"/>
    <x v="830"/>
    <x v="830"/>
    <x v="451"/>
    <x v="2"/>
    <n v="90462"/>
    <x v="2"/>
    <x v="0"/>
    <x v="3"/>
  </r>
  <r>
    <s v="CUST0832"/>
    <s v="Rania Khurana"/>
    <n v="49"/>
    <x v="0"/>
    <x v="6"/>
    <x v="0"/>
    <x v="831"/>
    <x v="831"/>
    <x v="452"/>
    <x v="333"/>
    <n v="67582"/>
    <x v="1"/>
    <x v="0"/>
    <x v="25"/>
  </r>
  <r>
    <s v="CUST0833"/>
    <s v="Veer Dhaliwal"/>
    <n v="29"/>
    <x v="0"/>
    <x v="4"/>
    <x v="1"/>
    <x v="832"/>
    <x v="832"/>
    <x v="453"/>
    <x v="325"/>
    <n v="234302"/>
    <x v="0"/>
    <x v="0"/>
    <x v="10"/>
  </r>
  <r>
    <s v="CUST0834"/>
    <s v="Ojas Dhar"/>
    <n v="64"/>
    <x v="0"/>
    <x v="7"/>
    <x v="2"/>
    <x v="833"/>
    <x v="833"/>
    <x v="454"/>
    <x v="312"/>
    <n v="216724"/>
    <x v="3"/>
    <x v="0"/>
    <x v="20"/>
  </r>
  <r>
    <s v="CUST0835"/>
    <s v="Anika Tara"/>
    <n v="35"/>
    <x v="1"/>
    <x v="2"/>
    <x v="2"/>
    <x v="834"/>
    <x v="834"/>
    <x v="199"/>
    <x v="408"/>
    <n v="57391"/>
    <x v="3"/>
    <x v="1"/>
    <x v="39"/>
  </r>
  <r>
    <s v="CUST0836"/>
    <s v="Taimur Devan"/>
    <n v="66"/>
    <x v="0"/>
    <x v="7"/>
    <x v="3"/>
    <x v="835"/>
    <x v="835"/>
    <x v="281"/>
    <x v="292"/>
    <n v="167548"/>
    <x v="0"/>
    <x v="0"/>
    <x v="22"/>
  </r>
  <r>
    <s v="CUST0837"/>
    <s v="Shamik Konda"/>
    <n v="70"/>
    <x v="0"/>
    <x v="7"/>
    <x v="2"/>
    <x v="836"/>
    <x v="836"/>
    <x v="188"/>
    <x v="38"/>
    <n v="31672"/>
    <x v="0"/>
    <x v="0"/>
    <x v="30"/>
  </r>
  <r>
    <s v="CUST0838"/>
    <s v="Nitya Barad"/>
    <n v="45"/>
    <x v="1"/>
    <x v="2"/>
    <x v="1"/>
    <x v="837"/>
    <x v="837"/>
    <x v="455"/>
    <x v="62"/>
    <n v="121025"/>
    <x v="3"/>
    <x v="0"/>
    <x v="7"/>
  </r>
  <r>
    <s v="CUST0839"/>
    <s v="Miraan Borde"/>
    <n v="32"/>
    <x v="1"/>
    <x v="2"/>
    <x v="0"/>
    <x v="838"/>
    <x v="838"/>
    <x v="456"/>
    <x v="35"/>
    <n v="46669"/>
    <x v="3"/>
    <x v="0"/>
    <x v="27"/>
  </r>
  <r>
    <s v="CUST0840"/>
    <s v="Tiya Sant"/>
    <n v="45"/>
    <x v="1"/>
    <x v="6"/>
    <x v="3"/>
    <x v="839"/>
    <x v="839"/>
    <x v="394"/>
    <x v="238"/>
    <n v="159062"/>
    <x v="0"/>
    <x v="1"/>
    <x v="6"/>
  </r>
  <r>
    <s v="CUST0841"/>
    <s v="Shaan Sankaran"/>
    <n v="49"/>
    <x v="0"/>
    <x v="3"/>
    <x v="3"/>
    <x v="840"/>
    <x v="840"/>
    <x v="456"/>
    <x v="305"/>
    <n v="193468"/>
    <x v="3"/>
    <x v="1"/>
    <x v="9"/>
  </r>
  <r>
    <s v="CUST0842"/>
    <s v="Mannat Seshadri"/>
    <n v="46"/>
    <x v="1"/>
    <x v="3"/>
    <x v="0"/>
    <x v="841"/>
    <x v="841"/>
    <x v="305"/>
    <x v="291"/>
    <n v="209095"/>
    <x v="1"/>
    <x v="0"/>
    <x v="25"/>
  </r>
  <r>
    <s v="CUST0843"/>
    <s v="Ivan Tank"/>
    <n v="29"/>
    <x v="1"/>
    <x v="5"/>
    <x v="2"/>
    <x v="842"/>
    <x v="842"/>
    <x v="362"/>
    <x v="289"/>
    <n v="221204"/>
    <x v="3"/>
    <x v="1"/>
    <x v="32"/>
  </r>
  <r>
    <s v="CUST0844"/>
    <s v="Shamik Wali"/>
    <n v="44"/>
    <x v="1"/>
    <x v="2"/>
    <x v="1"/>
    <x v="843"/>
    <x v="843"/>
    <x v="102"/>
    <x v="409"/>
    <n v="164005"/>
    <x v="3"/>
    <x v="0"/>
    <x v="30"/>
  </r>
  <r>
    <s v="CUST0845"/>
    <s v="Shaan Lalla"/>
    <n v="33"/>
    <x v="0"/>
    <x v="2"/>
    <x v="0"/>
    <x v="844"/>
    <x v="844"/>
    <x v="168"/>
    <x v="351"/>
    <n v="114819"/>
    <x v="1"/>
    <x v="1"/>
    <x v="33"/>
  </r>
  <r>
    <s v="CUST0846"/>
    <s v="Aaryahi Aggarwal"/>
    <n v="67"/>
    <x v="0"/>
    <x v="1"/>
    <x v="2"/>
    <x v="845"/>
    <x v="845"/>
    <x v="129"/>
    <x v="288"/>
    <n v="234698"/>
    <x v="0"/>
    <x v="0"/>
    <x v="37"/>
  </r>
  <r>
    <s v="CUST0847"/>
    <s v="Aarna Basak"/>
    <n v="25"/>
    <x v="1"/>
    <x v="7"/>
    <x v="0"/>
    <x v="846"/>
    <x v="846"/>
    <x v="457"/>
    <x v="410"/>
    <n v="202394"/>
    <x v="0"/>
    <x v="1"/>
    <x v="38"/>
  </r>
  <r>
    <s v="CUST0848"/>
    <s v="Renee Devi"/>
    <n v="56"/>
    <x v="0"/>
    <x v="0"/>
    <x v="2"/>
    <x v="847"/>
    <x v="847"/>
    <x v="458"/>
    <x v="273"/>
    <n v="248190"/>
    <x v="3"/>
    <x v="1"/>
    <x v="13"/>
  </r>
  <r>
    <s v="CUST0849"/>
    <s v="Tiya Sane"/>
    <n v="65"/>
    <x v="1"/>
    <x v="4"/>
    <x v="0"/>
    <x v="848"/>
    <x v="848"/>
    <x v="444"/>
    <x v="313"/>
    <n v="56729"/>
    <x v="1"/>
    <x v="0"/>
    <x v="21"/>
  </r>
  <r>
    <s v="CUST0850"/>
    <s v="Amani Agrawal"/>
    <n v="27"/>
    <x v="1"/>
    <x v="0"/>
    <x v="1"/>
    <x v="849"/>
    <x v="849"/>
    <x v="143"/>
    <x v="242"/>
    <n v="35728"/>
    <x v="1"/>
    <x v="1"/>
    <x v="29"/>
  </r>
  <r>
    <s v="CUST0851"/>
    <s v="Purab Doctor"/>
    <n v="63"/>
    <x v="0"/>
    <x v="1"/>
    <x v="1"/>
    <x v="850"/>
    <x v="850"/>
    <x v="334"/>
    <x v="195"/>
    <n v="79589"/>
    <x v="0"/>
    <x v="0"/>
    <x v="16"/>
  </r>
  <r>
    <s v="CUST0852"/>
    <s v="Ayesha Bassi"/>
    <n v="43"/>
    <x v="1"/>
    <x v="5"/>
    <x v="1"/>
    <x v="851"/>
    <x v="851"/>
    <x v="459"/>
    <x v="110"/>
    <n v="68154"/>
    <x v="2"/>
    <x v="0"/>
    <x v="32"/>
  </r>
  <r>
    <s v="CUST0853"/>
    <s v="Parinaaz Bhatt"/>
    <n v="21"/>
    <x v="1"/>
    <x v="5"/>
    <x v="0"/>
    <x v="852"/>
    <x v="852"/>
    <x v="460"/>
    <x v="257"/>
    <n v="230590"/>
    <x v="3"/>
    <x v="1"/>
    <x v="23"/>
  </r>
  <r>
    <s v="CUST0854"/>
    <s v="Piya Bansal"/>
    <n v="28"/>
    <x v="0"/>
    <x v="1"/>
    <x v="0"/>
    <x v="853"/>
    <x v="853"/>
    <x v="461"/>
    <x v="248"/>
    <n v="161968"/>
    <x v="3"/>
    <x v="1"/>
    <x v="6"/>
  </r>
  <r>
    <s v="CUST0855"/>
    <s v="Shlok Dasgupta"/>
    <n v="23"/>
    <x v="0"/>
    <x v="6"/>
    <x v="0"/>
    <x v="854"/>
    <x v="854"/>
    <x v="369"/>
    <x v="164"/>
    <n v="169454"/>
    <x v="1"/>
    <x v="1"/>
    <x v="15"/>
  </r>
  <r>
    <s v="CUST0856"/>
    <s v="Mannat Bandi"/>
    <n v="43"/>
    <x v="0"/>
    <x v="5"/>
    <x v="1"/>
    <x v="855"/>
    <x v="855"/>
    <x v="366"/>
    <x v="103"/>
    <n v="151128"/>
    <x v="0"/>
    <x v="0"/>
    <x v="32"/>
  </r>
  <r>
    <s v="CUST0857"/>
    <s v="Arhaan Chander"/>
    <n v="19"/>
    <x v="1"/>
    <x v="2"/>
    <x v="0"/>
    <x v="856"/>
    <x v="856"/>
    <x v="220"/>
    <x v="411"/>
    <n v="173924"/>
    <x v="3"/>
    <x v="0"/>
    <x v="29"/>
  </r>
  <r>
    <s v="CUST0858"/>
    <s v="Nehmat Baral"/>
    <n v="69"/>
    <x v="1"/>
    <x v="4"/>
    <x v="2"/>
    <x v="857"/>
    <x v="857"/>
    <x v="261"/>
    <x v="14"/>
    <n v="198640"/>
    <x v="1"/>
    <x v="1"/>
    <x v="36"/>
  </r>
  <r>
    <s v="CUST0859"/>
    <s v="Armaan Wagle"/>
    <n v="41"/>
    <x v="0"/>
    <x v="3"/>
    <x v="1"/>
    <x v="858"/>
    <x v="858"/>
    <x v="353"/>
    <x v="348"/>
    <n v="183439"/>
    <x v="0"/>
    <x v="0"/>
    <x v="11"/>
  </r>
  <r>
    <s v="CUST0860"/>
    <s v="Jivin Ram"/>
    <n v="27"/>
    <x v="1"/>
    <x v="3"/>
    <x v="3"/>
    <x v="859"/>
    <x v="859"/>
    <x v="127"/>
    <x v="269"/>
    <n v="220885"/>
    <x v="3"/>
    <x v="0"/>
    <x v="23"/>
  </r>
  <r>
    <s v="CUST0861"/>
    <s v="Aarush Salvi"/>
    <n v="35"/>
    <x v="1"/>
    <x v="4"/>
    <x v="3"/>
    <x v="860"/>
    <x v="860"/>
    <x v="307"/>
    <x v="412"/>
    <n v="171129"/>
    <x v="2"/>
    <x v="0"/>
    <x v="28"/>
  </r>
  <r>
    <s v="CUST0862"/>
    <s v="Jivika Bera"/>
    <n v="25"/>
    <x v="0"/>
    <x v="4"/>
    <x v="3"/>
    <x v="861"/>
    <x v="861"/>
    <x v="462"/>
    <x v="263"/>
    <n v="169090"/>
    <x v="1"/>
    <x v="1"/>
    <x v="21"/>
  </r>
  <r>
    <s v="CUST0863"/>
    <s v="Lakshay Batta"/>
    <n v="23"/>
    <x v="0"/>
    <x v="1"/>
    <x v="0"/>
    <x v="862"/>
    <x v="862"/>
    <x v="463"/>
    <x v="303"/>
    <n v="198834"/>
    <x v="3"/>
    <x v="0"/>
    <x v="38"/>
  </r>
  <r>
    <s v="CUST0864"/>
    <s v="Ayesha Sama"/>
    <n v="36"/>
    <x v="1"/>
    <x v="2"/>
    <x v="3"/>
    <x v="863"/>
    <x v="863"/>
    <x v="221"/>
    <x v="111"/>
    <n v="118519"/>
    <x v="2"/>
    <x v="1"/>
    <x v="21"/>
  </r>
  <r>
    <s v="CUST0865"/>
    <s v="Adah Kaur"/>
    <n v="59"/>
    <x v="1"/>
    <x v="0"/>
    <x v="2"/>
    <x v="864"/>
    <x v="864"/>
    <x v="120"/>
    <x v="343"/>
    <n v="160277"/>
    <x v="2"/>
    <x v="1"/>
    <x v="0"/>
  </r>
  <r>
    <s v="CUST0866"/>
    <s v="Arhaan Krish"/>
    <n v="22"/>
    <x v="0"/>
    <x v="6"/>
    <x v="1"/>
    <x v="865"/>
    <x v="865"/>
    <x v="89"/>
    <x v="279"/>
    <n v="103174"/>
    <x v="0"/>
    <x v="0"/>
    <x v="8"/>
  </r>
  <r>
    <s v="CUST0867"/>
    <s v="Kanav Basu"/>
    <n v="48"/>
    <x v="0"/>
    <x v="5"/>
    <x v="1"/>
    <x v="866"/>
    <x v="866"/>
    <x v="464"/>
    <x v="256"/>
    <n v="58145"/>
    <x v="2"/>
    <x v="0"/>
    <x v="28"/>
  </r>
  <r>
    <s v="CUST0868"/>
    <s v="Zoya Chacko"/>
    <n v="21"/>
    <x v="0"/>
    <x v="2"/>
    <x v="2"/>
    <x v="867"/>
    <x v="867"/>
    <x v="14"/>
    <x v="341"/>
    <n v="75441"/>
    <x v="0"/>
    <x v="1"/>
    <x v="13"/>
  </r>
  <r>
    <s v="CUST0869"/>
    <s v="Rania Ben"/>
    <n v="43"/>
    <x v="1"/>
    <x v="3"/>
    <x v="0"/>
    <x v="868"/>
    <x v="868"/>
    <x v="45"/>
    <x v="115"/>
    <n v="41419"/>
    <x v="0"/>
    <x v="1"/>
    <x v="2"/>
  </r>
  <r>
    <s v="CUST0870"/>
    <s v="Ranbir Brahmbhatt"/>
    <n v="39"/>
    <x v="0"/>
    <x v="0"/>
    <x v="3"/>
    <x v="869"/>
    <x v="869"/>
    <x v="45"/>
    <x v="289"/>
    <n v="217440"/>
    <x v="2"/>
    <x v="0"/>
    <x v="22"/>
  </r>
  <r>
    <s v="CUST0871"/>
    <s v="Dishani Dugal"/>
    <n v="53"/>
    <x v="1"/>
    <x v="7"/>
    <x v="2"/>
    <x v="870"/>
    <x v="870"/>
    <x v="22"/>
    <x v="35"/>
    <n v="225277"/>
    <x v="2"/>
    <x v="0"/>
    <x v="29"/>
  </r>
  <r>
    <s v="CUST0872"/>
    <s v="Dishani Kamdar"/>
    <n v="49"/>
    <x v="0"/>
    <x v="4"/>
    <x v="2"/>
    <x v="871"/>
    <x v="871"/>
    <x v="213"/>
    <x v="413"/>
    <n v="246571"/>
    <x v="2"/>
    <x v="0"/>
    <x v="24"/>
  </r>
  <r>
    <s v="CUST0873"/>
    <s v="Yakshit Ahluwalia"/>
    <n v="20"/>
    <x v="1"/>
    <x v="1"/>
    <x v="3"/>
    <x v="872"/>
    <x v="872"/>
    <x v="264"/>
    <x v="165"/>
    <n v="77310"/>
    <x v="3"/>
    <x v="0"/>
    <x v="31"/>
  </r>
  <r>
    <s v="CUST0874"/>
    <s v="Abram Deep"/>
    <n v="61"/>
    <x v="1"/>
    <x v="2"/>
    <x v="1"/>
    <x v="873"/>
    <x v="873"/>
    <x v="465"/>
    <x v="329"/>
    <n v="171214"/>
    <x v="2"/>
    <x v="1"/>
    <x v="4"/>
  </r>
  <r>
    <s v="CUST0875"/>
    <s v="Miraya Kaur"/>
    <n v="44"/>
    <x v="0"/>
    <x v="4"/>
    <x v="1"/>
    <x v="874"/>
    <x v="874"/>
    <x v="61"/>
    <x v="64"/>
    <n v="112203"/>
    <x v="1"/>
    <x v="0"/>
    <x v="27"/>
  </r>
  <r>
    <s v="CUST0876"/>
    <s v="Raunak Anand"/>
    <n v="53"/>
    <x v="1"/>
    <x v="6"/>
    <x v="0"/>
    <x v="875"/>
    <x v="875"/>
    <x v="113"/>
    <x v="414"/>
    <n v="175947"/>
    <x v="0"/>
    <x v="0"/>
    <x v="1"/>
  </r>
  <r>
    <s v="CUST0877"/>
    <s v="Sahil Hans"/>
    <n v="23"/>
    <x v="0"/>
    <x v="4"/>
    <x v="0"/>
    <x v="876"/>
    <x v="876"/>
    <x v="466"/>
    <x v="77"/>
    <n v="190295"/>
    <x v="1"/>
    <x v="1"/>
    <x v="8"/>
  </r>
  <r>
    <s v="CUST0878"/>
    <s v="Rasha Gola"/>
    <n v="31"/>
    <x v="0"/>
    <x v="5"/>
    <x v="1"/>
    <x v="877"/>
    <x v="877"/>
    <x v="10"/>
    <x v="415"/>
    <n v="78426"/>
    <x v="2"/>
    <x v="1"/>
    <x v="40"/>
  </r>
  <r>
    <s v="CUST0879"/>
    <s v="Vidur Kapur"/>
    <n v="18"/>
    <x v="1"/>
    <x v="0"/>
    <x v="2"/>
    <x v="878"/>
    <x v="878"/>
    <x v="467"/>
    <x v="222"/>
    <n v="118210"/>
    <x v="0"/>
    <x v="1"/>
    <x v="1"/>
  </r>
  <r>
    <s v="CUST0880"/>
    <s v="Ivan Sabharwal"/>
    <n v="20"/>
    <x v="1"/>
    <x v="5"/>
    <x v="2"/>
    <x v="879"/>
    <x v="879"/>
    <x v="468"/>
    <x v="282"/>
    <n v="24071"/>
    <x v="2"/>
    <x v="0"/>
    <x v="8"/>
  </r>
  <r>
    <s v="CUST0881"/>
    <s v="Gokul Yogi"/>
    <n v="53"/>
    <x v="1"/>
    <x v="3"/>
    <x v="1"/>
    <x v="880"/>
    <x v="880"/>
    <x v="60"/>
    <x v="235"/>
    <n v="122593"/>
    <x v="3"/>
    <x v="1"/>
    <x v="37"/>
  </r>
  <r>
    <s v="CUST0882"/>
    <s v="Vivaan Sarraf"/>
    <n v="38"/>
    <x v="1"/>
    <x v="6"/>
    <x v="2"/>
    <x v="881"/>
    <x v="881"/>
    <x v="230"/>
    <x v="347"/>
    <n v="155601"/>
    <x v="1"/>
    <x v="0"/>
    <x v="19"/>
  </r>
  <r>
    <s v="CUST0883"/>
    <s v="Jhanvi Borra"/>
    <n v="23"/>
    <x v="0"/>
    <x v="0"/>
    <x v="0"/>
    <x v="882"/>
    <x v="882"/>
    <x v="53"/>
    <x v="416"/>
    <n v="44448"/>
    <x v="3"/>
    <x v="1"/>
    <x v="26"/>
  </r>
  <r>
    <s v="CUST0884"/>
    <s v="Himmat Chacko"/>
    <n v="58"/>
    <x v="0"/>
    <x v="0"/>
    <x v="3"/>
    <x v="883"/>
    <x v="883"/>
    <x v="115"/>
    <x v="186"/>
    <n v="185544"/>
    <x v="0"/>
    <x v="1"/>
    <x v="11"/>
  </r>
  <r>
    <s v="CUST0885"/>
    <s v="Purab Rout"/>
    <n v="23"/>
    <x v="1"/>
    <x v="2"/>
    <x v="0"/>
    <x v="884"/>
    <x v="884"/>
    <x v="72"/>
    <x v="299"/>
    <n v="57688"/>
    <x v="3"/>
    <x v="1"/>
    <x v="23"/>
  </r>
  <r>
    <s v="CUST0886"/>
    <s v="Dharmajan Krishna"/>
    <n v="34"/>
    <x v="1"/>
    <x v="2"/>
    <x v="1"/>
    <x v="885"/>
    <x v="885"/>
    <x v="104"/>
    <x v="371"/>
    <n v="67350"/>
    <x v="0"/>
    <x v="1"/>
    <x v="40"/>
  </r>
  <r>
    <s v="CUST0887"/>
    <s v="Aniruddh Talwar"/>
    <n v="22"/>
    <x v="1"/>
    <x v="3"/>
    <x v="2"/>
    <x v="886"/>
    <x v="886"/>
    <x v="45"/>
    <x v="254"/>
    <n v="147537"/>
    <x v="1"/>
    <x v="0"/>
    <x v="6"/>
  </r>
  <r>
    <s v="CUST0888"/>
    <s v="Hiran Chacko"/>
    <n v="29"/>
    <x v="1"/>
    <x v="4"/>
    <x v="0"/>
    <x v="887"/>
    <x v="887"/>
    <x v="464"/>
    <x v="152"/>
    <n v="192927"/>
    <x v="3"/>
    <x v="1"/>
    <x v="38"/>
  </r>
  <r>
    <s v="CUST0889"/>
    <s v="Pari Lal"/>
    <n v="25"/>
    <x v="0"/>
    <x v="5"/>
    <x v="0"/>
    <x v="888"/>
    <x v="888"/>
    <x v="418"/>
    <x v="380"/>
    <n v="70553"/>
    <x v="3"/>
    <x v="0"/>
    <x v="8"/>
  </r>
  <r>
    <s v="CUST0890"/>
    <s v="Kanav Kumar"/>
    <n v="38"/>
    <x v="0"/>
    <x v="2"/>
    <x v="3"/>
    <x v="889"/>
    <x v="889"/>
    <x v="230"/>
    <x v="157"/>
    <n v="56323"/>
    <x v="1"/>
    <x v="1"/>
    <x v="17"/>
  </r>
  <r>
    <s v="CUST0891"/>
    <s v="Ivan Solanki"/>
    <n v="65"/>
    <x v="0"/>
    <x v="1"/>
    <x v="3"/>
    <x v="890"/>
    <x v="890"/>
    <x v="469"/>
    <x v="356"/>
    <n v="232077"/>
    <x v="2"/>
    <x v="0"/>
    <x v="11"/>
  </r>
  <r>
    <s v="CUST0892"/>
    <s v="Neysa Balay"/>
    <n v="55"/>
    <x v="1"/>
    <x v="4"/>
    <x v="1"/>
    <x v="891"/>
    <x v="891"/>
    <x v="186"/>
    <x v="417"/>
    <n v="227920"/>
    <x v="1"/>
    <x v="1"/>
    <x v="0"/>
  </r>
  <r>
    <s v="CUST0893"/>
    <s v="Aarav Devi"/>
    <n v="57"/>
    <x v="0"/>
    <x v="4"/>
    <x v="2"/>
    <x v="892"/>
    <x v="892"/>
    <x v="13"/>
    <x v="98"/>
    <n v="48195"/>
    <x v="0"/>
    <x v="1"/>
    <x v="16"/>
  </r>
  <r>
    <s v="CUST0894"/>
    <s v="Nirvaan Korpal"/>
    <n v="55"/>
    <x v="0"/>
    <x v="3"/>
    <x v="3"/>
    <x v="893"/>
    <x v="893"/>
    <x v="12"/>
    <x v="98"/>
    <n v="127428"/>
    <x v="2"/>
    <x v="0"/>
    <x v="21"/>
  </r>
  <r>
    <s v="CUST0895"/>
    <s v="Arnav Agrawal"/>
    <n v="40"/>
    <x v="0"/>
    <x v="7"/>
    <x v="3"/>
    <x v="894"/>
    <x v="894"/>
    <x v="333"/>
    <x v="418"/>
    <n v="84308"/>
    <x v="0"/>
    <x v="1"/>
    <x v="28"/>
  </r>
  <r>
    <s v="CUST0896"/>
    <s v="Pranay Kata"/>
    <n v="31"/>
    <x v="1"/>
    <x v="1"/>
    <x v="2"/>
    <x v="895"/>
    <x v="895"/>
    <x v="470"/>
    <x v="386"/>
    <n v="141995"/>
    <x v="0"/>
    <x v="1"/>
    <x v="10"/>
  </r>
  <r>
    <s v="CUST0897"/>
    <s v="Amira Aggarwal"/>
    <n v="63"/>
    <x v="1"/>
    <x v="0"/>
    <x v="3"/>
    <x v="896"/>
    <x v="896"/>
    <x v="471"/>
    <x v="311"/>
    <n v="179358"/>
    <x v="1"/>
    <x v="0"/>
    <x v="6"/>
  </r>
  <r>
    <s v="CUST0898"/>
    <s v="Nayantara Wadhwa"/>
    <n v="30"/>
    <x v="1"/>
    <x v="3"/>
    <x v="3"/>
    <x v="897"/>
    <x v="897"/>
    <x v="416"/>
    <x v="317"/>
    <n v="33018"/>
    <x v="2"/>
    <x v="0"/>
    <x v="19"/>
  </r>
  <r>
    <s v="CUST0899"/>
    <s v="Yashvi Anne"/>
    <n v="54"/>
    <x v="1"/>
    <x v="3"/>
    <x v="1"/>
    <x v="898"/>
    <x v="898"/>
    <x v="103"/>
    <x v="230"/>
    <n v="25575"/>
    <x v="0"/>
    <x v="0"/>
    <x v="6"/>
  </r>
  <r>
    <s v="CUST0900"/>
    <s v="Pari Sur"/>
    <n v="39"/>
    <x v="1"/>
    <x v="5"/>
    <x v="1"/>
    <x v="899"/>
    <x v="899"/>
    <x v="84"/>
    <x v="44"/>
    <n v="189024"/>
    <x v="0"/>
    <x v="1"/>
    <x v="4"/>
  </r>
  <r>
    <s v="CUST0901"/>
    <s v="Anay Ghose"/>
    <n v="49"/>
    <x v="0"/>
    <x v="5"/>
    <x v="0"/>
    <x v="900"/>
    <x v="900"/>
    <x v="85"/>
    <x v="360"/>
    <n v="180516"/>
    <x v="0"/>
    <x v="0"/>
    <x v="40"/>
  </r>
  <r>
    <s v="CUST0902"/>
    <s v="Drishya Soni"/>
    <n v="21"/>
    <x v="1"/>
    <x v="1"/>
    <x v="2"/>
    <x v="901"/>
    <x v="901"/>
    <x v="105"/>
    <x v="119"/>
    <n v="236388"/>
    <x v="0"/>
    <x v="0"/>
    <x v="32"/>
  </r>
  <r>
    <s v="CUST0903"/>
    <s v="Akarsh Seth"/>
    <n v="64"/>
    <x v="0"/>
    <x v="6"/>
    <x v="0"/>
    <x v="902"/>
    <x v="902"/>
    <x v="472"/>
    <x v="109"/>
    <n v="232934"/>
    <x v="0"/>
    <x v="0"/>
    <x v="32"/>
  </r>
  <r>
    <s v="CUST0904"/>
    <s v="Pihu Jayaraman"/>
    <n v="37"/>
    <x v="0"/>
    <x v="4"/>
    <x v="0"/>
    <x v="903"/>
    <x v="903"/>
    <x v="288"/>
    <x v="341"/>
    <n v="39671"/>
    <x v="3"/>
    <x v="1"/>
    <x v="32"/>
  </r>
  <r>
    <s v="CUST0905"/>
    <s v="Ahana  Cherian"/>
    <n v="27"/>
    <x v="0"/>
    <x v="1"/>
    <x v="1"/>
    <x v="904"/>
    <x v="904"/>
    <x v="473"/>
    <x v="419"/>
    <n v="217403"/>
    <x v="2"/>
    <x v="1"/>
    <x v="3"/>
  </r>
  <r>
    <s v="CUST0906"/>
    <s v="Chirag Rout"/>
    <n v="38"/>
    <x v="0"/>
    <x v="5"/>
    <x v="2"/>
    <x v="905"/>
    <x v="905"/>
    <x v="137"/>
    <x v="40"/>
    <n v="222543"/>
    <x v="3"/>
    <x v="0"/>
    <x v="4"/>
  </r>
  <r>
    <s v="CUST0907"/>
    <s v="Adira Walla"/>
    <n v="22"/>
    <x v="0"/>
    <x v="4"/>
    <x v="0"/>
    <x v="906"/>
    <x v="906"/>
    <x v="474"/>
    <x v="81"/>
    <n v="149657"/>
    <x v="1"/>
    <x v="0"/>
    <x v="30"/>
  </r>
  <r>
    <s v="CUST0908"/>
    <s v="Advika Sani"/>
    <n v="70"/>
    <x v="1"/>
    <x v="3"/>
    <x v="0"/>
    <x v="907"/>
    <x v="907"/>
    <x v="263"/>
    <x v="97"/>
    <n v="174802"/>
    <x v="3"/>
    <x v="0"/>
    <x v="34"/>
  </r>
  <r>
    <s v="CUST0909"/>
    <s v="Priyansh Subramaniam"/>
    <n v="41"/>
    <x v="0"/>
    <x v="2"/>
    <x v="3"/>
    <x v="908"/>
    <x v="908"/>
    <x v="441"/>
    <x v="233"/>
    <n v="121076"/>
    <x v="2"/>
    <x v="0"/>
    <x v="28"/>
  </r>
  <r>
    <s v="CUST0910"/>
    <s v="Taimur Varma"/>
    <n v="61"/>
    <x v="0"/>
    <x v="2"/>
    <x v="2"/>
    <x v="909"/>
    <x v="909"/>
    <x v="475"/>
    <x v="141"/>
    <n v="100516"/>
    <x v="0"/>
    <x v="1"/>
    <x v="3"/>
  </r>
  <r>
    <s v="CUST0911"/>
    <s v="Saira Chokshi"/>
    <n v="29"/>
    <x v="0"/>
    <x v="5"/>
    <x v="1"/>
    <x v="910"/>
    <x v="910"/>
    <x v="297"/>
    <x v="98"/>
    <n v="89928"/>
    <x v="3"/>
    <x v="0"/>
    <x v="17"/>
  </r>
  <r>
    <s v="CUST0912"/>
    <s v="Aarna Dalal"/>
    <n v="43"/>
    <x v="0"/>
    <x v="0"/>
    <x v="1"/>
    <x v="911"/>
    <x v="911"/>
    <x v="114"/>
    <x v="196"/>
    <n v="151646"/>
    <x v="3"/>
    <x v="1"/>
    <x v="16"/>
  </r>
  <r>
    <s v="CUST0913"/>
    <s v="Trisha Sastry"/>
    <n v="30"/>
    <x v="0"/>
    <x v="1"/>
    <x v="0"/>
    <x v="912"/>
    <x v="912"/>
    <x v="388"/>
    <x v="376"/>
    <n v="125563"/>
    <x v="3"/>
    <x v="0"/>
    <x v="14"/>
  </r>
  <r>
    <s v="CUST0914"/>
    <s v="Amira Kumer"/>
    <n v="21"/>
    <x v="1"/>
    <x v="0"/>
    <x v="1"/>
    <x v="913"/>
    <x v="913"/>
    <x v="157"/>
    <x v="55"/>
    <n v="29355"/>
    <x v="0"/>
    <x v="0"/>
    <x v="17"/>
  </r>
  <r>
    <s v="CUST0915"/>
    <s v="Tiya Kakar"/>
    <n v="64"/>
    <x v="1"/>
    <x v="6"/>
    <x v="3"/>
    <x v="914"/>
    <x v="914"/>
    <x v="186"/>
    <x v="420"/>
    <n v="236024"/>
    <x v="0"/>
    <x v="0"/>
    <x v="28"/>
  </r>
  <r>
    <s v="CUST0916"/>
    <s v="Anvi Sagar"/>
    <n v="29"/>
    <x v="0"/>
    <x v="3"/>
    <x v="3"/>
    <x v="915"/>
    <x v="915"/>
    <x v="315"/>
    <x v="75"/>
    <n v="151921"/>
    <x v="0"/>
    <x v="0"/>
    <x v="6"/>
  </r>
  <r>
    <s v="CUST0917"/>
    <s v="Arhaan Jaggi"/>
    <n v="29"/>
    <x v="1"/>
    <x v="7"/>
    <x v="2"/>
    <x v="916"/>
    <x v="916"/>
    <x v="449"/>
    <x v="403"/>
    <n v="107072"/>
    <x v="1"/>
    <x v="0"/>
    <x v="22"/>
  </r>
  <r>
    <s v="CUST0918"/>
    <s v="Kartik Ray"/>
    <n v="28"/>
    <x v="1"/>
    <x v="1"/>
    <x v="1"/>
    <x v="917"/>
    <x v="917"/>
    <x v="476"/>
    <x v="53"/>
    <n v="198048"/>
    <x v="0"/>
    <x v="0"/>
    <x v="25"/>
  </r>
  <r>
    <s v="CUST0919"/>
    <s v="Kimaya Wadhwa"/>
    <n v="70"/>
    <x v="0"/>
    <x v="2"/>
    <x v="0"/>
    <x v="918"/>
    <x v="918"/>
    <x v="4"/>
    <x v="115"/>
    <n v="24558"/>
    <x v="1"/>
    <x v="1"/>
    <x v="36"/>
  </r>
  <r>
    <s v="CUST0920"/>
    <s v="Chirag Dubey"/>
    <n v="46"/>
    <x v="1"/>
    <x v="4"/>
    <x v="0"/>
    <x v="919"/>
    <x v="919"/>
    <x v="290"/>
    <x v="293"/>
    <n v="148624"/>
    <x v="1"/>
    <x v="1"/>
    <x v="22"/>
  </r>
  <r>
    <s v="CUST0921"/>
    <s v="Hridaan Garg"/>
    <n v="63"/>
    <x v="0"/>
    <x v="3"/>
    <x v="1"/>
    <x v="920"/>
    <x v="920"/>
    <x v="369"/>
    <x v="291"/>
    <n v="107487"/>
    <x v="3"/>
    <x v="0"/>
    <x v="17"/>
  </r>
  <r>
    <s v="CUST0922"/>
    <s v="Vardaniya Bhat"/>
    <n v="40"/>
    <x v="0"/>
    <x v="1"/>
    <x v="1"/>
    <x v="921"/>
    <x v="921"/>
    <x v="174"/>
    <x v="421"/>
    <n v="150503"/>
    <x v="0"/>
    <x v="1"/>
    <x v="11"/>
  </r>
  <r>
    <s v="CUST0923"/>
    <s v="Lavanya Sane"/>
    <n v="58"/>
    <x v="1"/>
    <x v="5"/>
    <x v="1"/>
    <x v="922"/>
    <x v="922"/>
    <x v="110"/>
    <x v="80"/>
    <n v="197943"/>
    <x v="2"/>
    <x v="1"/>
    <x v="17"/>
  </r>
  <r>
    <s v="CUST0924"/>
    <s v="Trisha Kothari"/>
    <n v="37"/>
    <x v="1"/>
    <x v="4"/>
    <x v="3"/>
    <x v="923"/>
    <x v="923"/>
    <x v="185"/>
    <x v="284"/>
    <n v="69957"/>
    <x v="1"/>
    <x v="0"/>
    <x v="12"/>
  </r>
  <r>
    <s v="CUST0925"/>
    <s v="Hunar Magar"/>
    <n v="18"/>
    <x v="0"/>
    <x v="6"/>
    <x v="1"/>
    <x v="924"/>
    <x v="924"/>
    <x v="207"/>
    <x v="195"/>
    <n v="150790"/>
    <x v="1"/>
    <x v="0"/>
    <x v="38"/>
  </r>
  <r>
    <s v="CUST0926"/>
    <s v="Tarini Chopra"/>
    <n v="69"/>
    <x v="0"/>
    <x v="4"/>
    <x v="3"/>
    <x v="925"/>
    <x v="925"/>
    <x v="58"/>
    <x v="67"/>
    <n v="97260"/>
    <x v="0"/>
    <x v="1"/>
    <x v="12"/>
  </r>
  <r>
    <s v="CUST0927"/>
    <s v="Nakul Reddy"/>
    <n v="40"/>
    <x v="0"/>
    <x v="2"/>
    <x v="3"/>
    <x v="926"/>
    <x v="926"/>
    <x v="477"/>
    <x v="93"/>
    <n v="193081"/>
    <x v="3"/>
    <x v="0"/>
    <x v="7"/>
  </r>
  <r>
    <s v="CUST0928"/>
    <s v="Lavanya Barman"/>
    <n v="45"/>
    <x v="0"/>
    <x v="0"/>
    <x v="1"/>
    <x v="927"/>
    <x v="927"/>
    <x v="464"/>
    <x v="53"/>
    <n v="173413"/>
    <x v="2"/>
    <x v="0"/>
    <x v="37"/>
  </r>
  <r>
    <s v="CUST0929"/>
    <s v="Trisha Goyal"/>
    <n v="34"/>
    <x v="0"/>
    <x v="1"/>
    <x v="3"/>
    <x v="928"/>
    <x v="928"/>
    <x v="34"/>
    <x v="94"/>
    <n v="99173"/>
    <x v="3"/>
    <x v="1"/>
    <x v="7"/>
  </r>
  <r>
    <s v="CUST0930"/>
    <s v="Anvi Mallick"/>
    <n v="53"/>
    <x v="0"/>
    <x v="0"/>
    <x v="1"/>
    <x v="929"/>
    <x v="929"/>
    <x v="13"/>
    <x v="381"/>
    <n v="72303"/>
    <x v="0"/>
    <x v="0"/>
    <x v="26"/>
  </r>
  <r>
    <s v="CUST0931"/>
    <s v="Pari Ravi"/>
    <n v="51"/>
    <x v="1"/>
    <x v="0"/>
    <x v="1"/>
    <x v="930"/>
    <x v="930"/>
    <x v="478"/>
    <x v="81"/>
    <n v="135841"/>
    <x v="2"/>
    <x v="0"/>
    <x v="18"/>
  </r>
  <r>
    <s v="CUST0932"/>
    <s v="Eva Mall"/>
    <n v="53"/>
    <x v="0"/>
    <x v="5"/>
    <x v="2"/>
    <x v="931"/>
    <x v="931"/>
    <x v="271"/>
    <x v="99"/>
    <n v="26926"/>
    <x v="1"/>
    <x v="0"/>
    <x v="6"/>
  </r>
  <r>
    <s v="CUST0933"/>
    <s v="Rania Manne"/>
    <n v="66"/>
    <x v="1"/>
    <x v="7"/>
    <x v="0"/>
    <x v="932"/>
    <x v="932"/>
    <x v="390"/>
    <x v="108"/>
    <n v="241539"/>
    <x v="0"/>
    <x v="1"/>
    <x v="39"/>
  </r>
  <r>
    <s v="CUST0934"/>
    <s v="Kaira Rajagopal"/>
    <n v="59"/>
    <x v="1"/>
    <x v="7"/>
    <x v="0"/>
    <x v="933"/>
    <x v="933"/>
    <x v="270"/>
    <x v="261"/>
    <n v="48062"/>
    <x v="0"/>
    <x v="0"/>
    <x v="22"/>
  </r>
  <r>
    <s v="CUST0935"/>
    <s v="Heer Balay"/>
    <n v="51"/>
    <x v="0"/>
    <x v="6"/>
    <x v="3"/>
    <x v="934"/>
    <x v="934"/>
    <x v="354"/>
    <x v="111"/>
    <n v="57788"/>
    <x v="0"/>
    <x v="1"/>
    <x v="6"/>
  </r>
  <r>
    <s v="CUST0936"/>
    <s v="Aarav Kaul"/>
    <n v="57"/>
    <x v="0"/>
    <x v="1"/>
    <x v="2"/>
    <x v="935"/>
    <x v="935"/>
    <x v="53"/>
    <x v="422"/>
    <n v="200296"/>
    <x v="0"/>
    <x v="1"/>
    <x v="7"/>
  </r>
  <r>
    <s v="CUST0937"/>
    <s v="Vaibhav Deo"/>
    <n v="19"/>
    <x v="0"/>
    <x v="1"/>
    <x v="3"/>
    <x v="936"/>
    <x v="936"/>
    <x v="360"/>
    <x v="220"/>
    <n v="238294"/>
    <x v="2"/>
    <x v="0"/>
    <x v="21"/>
  </r>
  <r>
    <s v="CUST0938"/>
    <s v="Abram Dixit"/>
    <n v="45"/>
    <x v="0"/>
    <x v="4"/>
    <x v="1"/>
    <x v="937"/>
    <x v="937"/>
    <x v="79"/>
    <x v="420"/>
    <n v="58337"/>
    <x v="1"/>
    <x v="1"/>
    <x v="36"/>
  </r>
  <r>
    <s v="CUST0939"/>
    <s v="Ojas Raman"/>
    <n v="60"/>
    <x v="0"/>
    <x v="4"/>
    <x v="1"/>
    <x v="938"/>
    <x v="938"/>
    <x v="416"/>
    <x v="321"/>
    <n v="46219"/>
    <x v="2"/>
    <x v="0"/>
    <x v="16"/>
  </r>
  <r>
    <s v="CUST0940"/>
    <s v="Navya Kaur"/>
    <n v="19"/>
    <x v="1"/>
    <x v="7"/>
    <x v="3"/>
    <x v="939"/>
    <x v="939"/>
    <x v="461"/>
    <x v="174"/>
    <n v="94297"/>
    <x v="3"/>
    <x v="1"/>
    <x v="4"/>
  </r>
  <r>
    <s v="CUST0941"/>
    <s v="Drishya Khosla"/>
    <n v="64"/>
    <x v="0"/>
    <x v="5"/>
    <x v="1"/>
    <x v="940"/>
    <x v="940"/>
    <x v="478"/>
    <x v="11"/>
    <n v="140153"/>
    <x v="0"/>
    <x v="0"/>
    <x v="40"/>
  </r>
  <r>
    <s v="CUST0942"/>
    <s v="Yashvi Thakur"/>
    <n v="59"/>
    <x v="0"/>
    <x v="6"/>
    <x v="3"/>
    <x v="941"/>
    <x v="941"/>
    <x v="98"/>
    <x v="143"/>
    <n v="59689"/>
    <x v="2"/>
    <x v="0"/>
    <x v="0"/>
  </r>
  <r>
    <s v="CUST0943"/>
    <s v="Mannat Dutt"/>
    <n v="59"/>
    <x v="1"/>
    <x v="3"/>
    <x v="3"/>
    <x v="942"/>
    <x v="942"/>
    <x v="219"/>
    <x v="423"/>
    <n v="146810"/>
    <x v="1"/>
    <x v="1"/>
    <x v="32"/>
  </r>
  <r>
    <s v="CUST0944"/>
    <s v="Divit Rout"/>
    <n v="22"/>
    <x v="1"/>
    <x v="4"/>
    <x v="3"/>
    <x v="943"/>
    <x v="943"/>
    <x v="479"/>
    <x v="424"/>
    <n v="31777"/>
    <x v="3"/>
    <x v="0"/>
    <x v="5"/>
  </r>
  <r>
    <s v="CUST0945"/>
    <s v="Eshani Rajagopal"/>
    <n v="24"/>
    <x v="1"/>
    <x v="2"/>
    <x v="0"/>
    <x v="944"/>
    <x v="944"/>
    <x v="155"/>
    <x v="356"/>
    <n v="65612"/>
    <x v="0"/>
    <x v="1"/>
    <x v="10"/>
  </r>
  <r>
    <s v="CUST0946"/>
    <s v="Pihu Sahota"/>
    <n v="66"/>
    <x v="1"/>
    <x v="0"/>
    <x v="2"/>
    <x v="945"/>
    <x v="945"/>
    <x v="36"/>
    <x v="425"/>
    <n v="118126"/>
    <x v="3"/>
    <x v="0"/>
    <x v="23"/>
  </r>
  <r>
    <s v="CUST0947"/>
    <s v="Miraan Joshi"/>
    <n v="34"/>
    <x v="0"/>
    <x v="2"/>
    <x v="0"/>
    <x v="946"/>
    <x v="946"/>
    <x v="122"/>
    <x v="426"/>
    <n v="148739"/>
    <x v="0"/>
    <x v="0"/>
    <x v="29"/>
  </r>
  <r>
    <s v="CUST0948"/>
    <s v="Oorja Bassi"/>
    <n v="20"/>
    <x v="0"/>
    <x v="5"/>
    <x v="2"/>
    <x v="947"/>
    <x v="947"/>
    <x v="480"/>
    <x v="314"/>
    <n v="232338"/>
    <x v="2"/>
    <x v="0"/>
    <x v="33"/>
  </r>
  <r>
    <s v="CUST0949"/>
    <s v="Nirvi Dutta"/>
    <n v="31"/>
    <x v="0"/>
    <x v="2"/>
    <x v="1"/>
    <x v="948"/>
    <x v="948"/>
    <x v="123"/>
    <x v="358"/>
    <n v="169519"/>
    <x v="2"/>
    <x v="1"/>
    <x v="6"/>
  </r>
  <r>
    <s v="CUST0950"/>
    <s v="Jivika Chatterjee"/>
    <n v="22"/>
    <x v="0"/>
    <x v="7"/>
    <x v="3"/>
    <x v="949"/>
    <x v="949"/>
    <x v="481"/>
    <x v="55"/>
    <n v="169199"/>
    <x v="0"/>
    <x v="0"/>
    <x v="19"/>
  </r>
  <r>
    <s v="CUST0951"/>
    <s v="Riaan Vasa"/>
    <n v="70"/>
    <x v="0"/>
    <x v="6"/>
    <x v="0"/>
    <x v="950"/>
    <x v="950"/>
    <x v="478"/>
    <x v="387"/>
    <n v="95994"/>
    <x v="3"/>
    <x v="1"/>
    <x v="7"/>
  </r>
  <r>
    <s v="CUST0952"/>
    <s v="Zeeshan Bumb"/>
    <n v="43"/>
    <x v="1"/>
    <x v="7"/>
    <x v="0"/>
    <x v="951"/>
    <x v="951"/>
    <x v="447"/>
    <x v="135"/>
    <n v="182174"/>
    <x v="1"/>
    <x v="1"/>
    <x v="22"/>
  </r>
  <r>
    <s v="CUST0953"/>
    <s v="Yasmin Biswas"/>
    <n v="34"/>
    <x v="1"/>
    <x v="7"/>
    <x v="2"/>
    <x v="952"/>
    <x v="952"/>
    <x v="273"/>
    <x v="68"/>
    <n v="72562"/>
    <x v="2"/>
    <x v="0"/>
    <x v="33"/>
  </r>
  <r>
    <s v="CUST0954"/>
    <s v="Tara Lall"/>
    <n v="69"/>
    <x v="1"/>
    <x v="2"/>
    <x v="1"/>
    <x v="953"/>
    <x v="953"/>
    <x v="380"/>
    <x v="129"/>
    <n v="167811"/>
    <x v="3"/>
    <x v="1"/>
    <x v="38"/>
  </r>
  <r>
    <s v="CUST0955"/>
    <s v="Vedika Aggarwal"/>
    <n v="64"/>
    <x v="1"/>
    <x v="6"/>
    <x v="2"/>
    <x v="954"/>
    <x v="954"/>
    <x v="130"/>
    <x v="207"/>
    <n v="30942"/>
    <x v="0"/>
    <x v="0"/>
    <x v="18"/>
  </r>
  <r>
    <s v="CUST0956"/>
    <s v="Kiara Sachdev"/>
    <n v="19"/>
    <x v="0"/>
    <x v="4"/>
    <x v="0"/>
    <x v="955"/>
    <x v="955"/>
    <x v="288"/>
    <x v="10"/>
    <n v="222798"/>
    <x v="2"/>
    <x v="1"/>
    <x v="5"/>
  </r>
  <r>
    <s v="CUST0957"/>
    <s v="Nitya Sibal"/>
    <n v="62"/>
    <x v="1"/>
    <x v="5"/>
    <x v="2"/>
    <x v="956"/>
    <x v="956"/>
    <x v="477"/>
    <x v="84"/>
    <n v="52830"/>
    <x v="1"/>
    <x v="1"/>
    <x v="3"/>
  </r>
  <r>
    <s v="CUST0958"/>
    <s v="Diya Comar"/>
    <n v="21"/>
    <x v="0"/>
    <x v="7"/>
    <x v="2"/>
    <x v="957"/>
    <x v="957"/>
    <x v="77"/>
    <x v="370"/>
    <n v="82434"/>
    <x v="0"/>
    <x v="0"/>
    <x v="8"/>
  </r>
  <r>
    <s v="CUST0959"/>
    <s v="Akarsh Balay"/>
    <n v="21"/>
    <x v="0"/>
    <x v="6"/>
    <x v="2"/>
    <x v="958"/>
    <x v="958"/>
    <x v="392"/>
    <x v="93"/>
    <n v="53217"/>
    <x v="2"/>
    <x v="1"/>
    <x v="12"/>
  </r>
  <r>
    <s v="CUST0960"/>
    <s v="Shanaya Tak"/>
    <n v="60"/>
    <x v="1"/>
    <x v="1"/>
    <x v="1"/>
    <x v="959"/>
    <x v="959"/>
    <x v="482"/>
    <x v="42"/>
    <n v="52080"/>
    <x v="1"/>
    <x v="1"/>
    <x v="36"/>
  </r>
  <r>
    <s v="CUST0961"/>
    <s v="Taran Handa"/>
    <n v="67"/>
    <x v="0"/>
    <x v="7"/>
    <x v="3"/>
    <x v="960"/>
    <x v="960"/>
    <x v="110"/>
    <x v="229"/>
    <n v="164547"/>
    <x v="2"/>
    <x v="1"/>
    <x v="17"/>
  </r>
  <r>
    <s v="CUST0962"/>
    <s v="Diya Mangat"/>
    <n v="35"/>
    <x v="0"/>
    <x v="2"/>
    <x v="3"/>
    <x v="961"/>
    <x v="961"/>
    <x v="92"/>
    <x v="145"/>
    <n v="40564"/>
    <x v="3"/>
    <x v="0"/>
    <x v="4"/>
  </r>
  <r>
    <s v="CUST0963"/>
    <s v="Hridaan Guha"/>
    <n v="33"/>
    <x v="0"/>
    <x v="6"/>
    <x v="3"/>
    <x v="962"/>
    <x v="962"/>
    <x v="483"/>
    <x v="15"/>
    <n v="203066"/>
    <x v="2"/>
    <x v="1"/>
    <x v="36"/>
  </r>
  <r>
    <s v="CUST0964"/>
    <s v="Divij Yogi"/>
    <n v="70"/>
    <x v="1"/>
    <x v="0"/>
    <x v="1"/>
    <x v="963"/>
    <x v="963"/>
    <x v="81"/>
    <x v="192"/>
    <n v="42149"/>
    <x v="0"/>
    <x v="0"/>
    <x v="20"/>
  </r>
  <r>
    <s v="CUST0965"/>
    <s v="Hiran Ramanathan"/>
    <n v="31"/>
    <x v="1"/>
    <x v="7"/>
    <x v="3"/>
    <x v="964"/>
    <x v="964"/>
    <x v="436"/>
    <x v="49"/>
    <n v="119438"/>
    <x v="1"/>
    <x v="0"/>
    <x v="4"/>
  </r>
  <r>
    <s v="CUST0966"/>
    <s v="Indranil Sachdev"/>
    <n v="66"/>
    <x v="0"/>
    <x v="2"/>
    <x v="1"/>
    <x v="965"/>
    <x v="965"/>
    <x v="203"/>
    <x v="299"/>
    <n v="27168"/>
    <x v="1"/>
    <x v="1"/>
    <x v="14"/>
  </r>
  <r>
    <s v="CUST0967"/>
    <s v="Riaan Karpe"/>
    <n v="45"/>
    <x v="1"/>
    <x v="1"/>
    <x v="2"/>
    <x v="966"/>
    <x v="966"/>
    <x v="484"/>
    <x v="339"/>
    <n v="170104"/>
    <x v="0"/>
    <x v="1"/>
    <x v="34"/>
  </r>
  <r>
    <s v="CUST0968"/>
    <s v="Yuvraj  Dara"/>
    <n v="69"/>
    <x v="1"/>
    <x v="0"/>
    <x v="0"/>
    <x v="967"/>
    <x v="967"/>
    <x v="311"/>
    <x v="27"/>
    <n v="198939"/>
    <x v="1"/>
    <x v="1"/>
    <x v="33"/>
  </r>
  <r>
    <s v="CUST0969"/>
    <s v="Manikya Golla"/>
    <n v="35"/>
    <x v="1"/>
    <x v="6"/>
    <x v="2"/>
    <x v="968"/>
    <x v="968"/>
    <x v="344"/>
    <x v="338"/>
    <n v="192813"/>
    <x v="2"/>
    <x v="1"/>
    <x v="4"/>
  </r>
  <r>
    <s v="CUST0970"/>
    <s v="Anika Cherian"/>
    <n v="19"/>
    <x v="0"/>
    <x v="0"/>
    <x v="0"/>
    <x v="969"/>
    <x v="969"/>
    <x v="78"/>
    <x v="375"/>
    <n v="135319"/>
    <x v="0"/>
    <x v="1"/>
    <x v="1"/>
  </r>
  <r>
    <s v="CUST0971"/>
    <s v="Hunar Salvi"/>
    <n v="57"/>
    <x v="1"/>
    <x v="6"/>
    <x v="1"/>
    <x v="970"/>
    <x v="970"/>
    <x v="219"/>
    <x v="324"/>
    <n v="164558"/>
    <x v="3"/>
    <x v="0"/>
    <x v="28"/>
  </r>
  <r>
    <s v="CUST0972"/>
    <s v="Parinaaz Ratta"/>
    <n v="58"/>
    <x v="0"/>
    <x v="3"/>
    <x v="1"/>
    <x v="971"/>
    <x v="971"/>
    <x v="485"/>
    <x v="287"/>
    <n v="65742"/>
    <x v="1"/>
    <x v="0"/>
    <x v="19"/>
  </r>
  <r>
    <s v="CUST0973"/>
    <s v="Ritvik Shere"/>
    <n v="53"/>
    <x v="1"/>
    <x v="7"/>
    <x v="2"/>
    <x v="972"/>
    <x v="972"/>
    <x v="365"/>
    <x v="427"/>
    <n v="208051"/>
    <x v="1"/>
    <x v="0"/>
    <x v="20"/>
  </r>
  <r>
    <s v="CUST0974"/>
    <s v="Shanaya Mangal"/>
    <n v="22"/>
    <x v="1"/>
    <x v="0"/>
    <x v="0"/>
    <x v="973"/>
    <x v="973"/>
    <x v="191"/>
    <x v="68"/>
    <n v="152890"/>
    <x v="2"/>
    <x v="1"/>
    <x v="27"/>
  </r>
  <r>
    <s v="CUST0975"/>
    <s v="Nishith Gera"/>
    <n v="27"/>
    <x v="1"/>
    <x v="4"/>
    <x v="3"/>
    <x v="974"/>
    <x v="974"/>
    <x v="486"/>
    <x v="428"/>
    <n v="26473"/>
    <x v="0"/>
    <x v="0"/>
    <x v="6"/>
  </r>
  <r>
    <s v="CUST0976"/>
    <s v="Gokul Chahal"/>
    <n v="41"/>
    <x v="1"/>
    <x v="5"/>
    <x v="2"/>
    <x v="975"/>
    <x v="975"/>
    <x v="457"/>
    <x v="407"/>
    <n v="31694"/>
    <x v="2"/>
    <x v="0"/>
    <x v="12"/>
  </r>
  <r>
    <s v="CUST0977"/>
    <s v="Kismat Chandran"/>
    <n v="60"/>
    <x v="0"/>
    <x v="0"/>
    <x v="0"/>
    <x v="976"/>
    <x v="976"/>
    <x v="172"/>
    <x v="236"/>
    <n v="210384"/>
    <x v="0"/>
    <x v="1"/>
    <x v="10"/>
  </r>
  <r>
    <s v="CUST0978"/>
    <s v="Baiju Bandi"/>
    <n v="60"/>
    <x v="0"/>
    <x v="5"/>
    <x v="2"/>
    <x v="977"/>
    <x v="977"/>
    <x v="435"/>
    <x v="319"/>
    <n v="157480"/>
    <x v="1"/>
    <x v="0"/>
    <x v="25"/>
  </r>
  <r>
    <s v="CUST0979"/>
    <s v="Jayan Gandhi"/>
    <n v="47"/>
    <x v="1"/>
    <x v="5"/>
    <x v="0"/>
    <x v="978"/>
    <x v="978"/>
    <x v="79"/>
    <x v="309"/>
    <n v="102527"/>
    <x v="1"/>
    <x v="0"/>
    <x v="0"/>
  </r>
  <r>
    <s v="CUST0980"/>
    <s v="Jayesh Vig"/>
    <n v="41"/>
    <x v="0"/>
    <x v="1"/>
    <x v="1"/>
    <x v="979"/>
    <x v="979"/>
    <x v="487"/>
    <x v="429"/>
    <n v="191266"/>
    <x v="3"/>
    <x v="1"/>
    <x v="25"/>
  </r>
  <r>
    <s v="CUST0981"/>
    <s v="Pranay Rastogi"/>
    <n v="68"/>
    <x v="0"/>
    <x v="4"/>
    <x v="2"/>
    <x v="980"/>
    <x v="980"/>
    <x v="180"/>
    <x v="317"/>
    <n v="95205"/>
    <x v="3"/>
    <x v="1"/>
    <x v="36"/>
  </r>
  <r>
    <s v="CUST0982"/>
    <s v="Vihaan Mammen"/>
    <n v="18"/>
    <x v="0"/>
    <x v="3"/>
    <x v="0"/>
    <x v="981"/>
    <x v="981"/>
    <x v="90"/>
    <x v="201"/>
    <n v="63718"/>
    <x v="2"/>
    <x v="0"/>
    <x v="37"/>
  </r>
  <r>
    <s v="CUST0983"/>
    <s v="Kashvi Datta"/>
    <n v="62"/>
    <x v="1"/>
    <x v="5"/>
    <x v="2"/>
    <x v="982"/>
    <x v="982"/>
    <x v="160"/>
    <x v="12"/>
    <n v="63761"/>
    <x v="2"/>
    <x v="0"/>
    <x v="21"/>
  </r>
  <r>
    <s v="CUST0984"/>
    <s v="Abram Sastry"/>
    <n v="63"/>
    <x v="0"/>
    <x v="7"/>
    <x v="0"/>
    <x v="983"/>
    <x v="983"/>
    <x v="429"/>
    <x v="430"/>
    <n v="96910"/>
    <x v="1"/>
    <x v="1"/>
    <x v="12"/>
  </r>
  <r>
    <s v="CUST0985"/>
    <s v="Diya Agrawal"/>
    <n v="44"/>
    <x v="0"/>
    <x v="3"/>
    <x v="0"/>
    <x v="984"/>
    <x v="984"/>
    <x v="145"/>
    <x v="248"/>
    <n v="185368"/>
    <x v="3"/>
    <x v="0"/>
    <x v="22"/>
  </r>
  <r>
    <s v="CUST0986"/>
    <s v="Sara Zacharia"/>
    <n v="55"/>
    <x v="1"/>
    <x v="2"/>
    <x v="2"/>
    <x v="985"/>
    <x v="985"/>
    <x v="288"/>
    <x v="425"/>
    <n v="175464"/>
    <x v="1"/>
    <x v="1"/>
    <x v="3"/>
  </r>
  <r>
    <s v="CUST0987"/>
    <s v="Anaya Chana"/>
    <n v="39"/>
    <x v="1"/>
    <x v="6"/>
    <x v="3"/>
    <x v="986"/>
    <x v="986"/>
    <x v="72"/>
    <x v="70"/>
    <n v="32658"/>
    <x v="2"/>
    <x v="1"/>
    <x v="40"/>
  </r>
  <r>
    <s v="CUST0988"/>
    <s v="Eva Chanda"/>
    <n v="66"/>
    <x v="1"/>
    <x v="2"/>
    <x v="3"/>
    <x v="987"/>
    <x v="987"/>
    <x v="26"/>
    <x v="431"/>
    <n v="66770"/>
    <x v="1"/>
    <x v="0"/>
    <x v="24"/>
  </r>
  <r>
    <s v="CUST0989"/>
    <s v="Vedika Ghosh"/>
    <n v="25"/>
    <x v="1"/>
    <x v="2"/>
    <x v="2"/>
    <x v="988"/>
    <x v="988"/>
    <x v="488"/>
    <x v="432"/>
    <n v="95456"/>
    <x v="1"/>
    <x v="0"/>
    <x v="34"/>
  </r>
  <r>
    <s v="CUST0990"/>
    <s v="Jayant Kar"/>
    <n v="24"/>
    <x v="0"/>
    <x v="1"/>
    <x v="0"/>
    <x v="989"/>
    <x v="989"/>
    <x v="489"/>
    <x v="416"/>
    <n v="74222"/>
    <x v="2"/>
    <x v="0"/>
    <x v="12"/>
  </r>
  <r>
    <s v="CUST0991"/>
    <s v="Tejas Mander"/>
    <n v="41"/>
    <x v="0"/>
    <x v="4"/>
    <x v="3"/>
    <x v="990"/>
    <x v="990"/>
    <x v="490"/>
    <x v="433"/>
    <n v="73252"/>
    <x v="0"/>
    <x v="0"/>
    <x v="3"/>
  </r>
  <r>
    <s v="CUST0992"/>
    <s v="Reyansh Bansal"/>
    <n v="46"/>
    <x v="0"/>
    <x v="5"/>
    <x v="0"/>
    <x v="991"/>
    <x v="991"/>
    <x v="83"/>
    <x v="179"/>
    <n v="133315"/>
    <x v="3"/>
    <x v="0"/>
    <x v="0"/>
  </r>
  <r>
    <s v="CUST0993"/>
    <s v="Indrajit Biswas"/>
    <n v="38"/>
    <x v="1"/>
    <x v="7"/>
    <x v="1"/>
    <x v="992"/>
    <x v="992"/>
    <x v="441"/>
    <x v="37"/>
    <n v="61085"/>
    <x v="0"/>
    <x v="1"/>
    <x v="28"/>
  </r>
  <r>
    <s v="CUST0994"/>
    <s v="Jayant Ramakrishnan"/>
    <n v="30"/>
    <x v="0"/>
    <x v="1"/>
    <x v="2"/>
    <x v="993"/>
    <x v="993"/>
    <x v="380"/>
    <x v="208"/>
    <n v="240576"/>
    <x v="2"/>
    <x v="0"/>
    <x v="26"/>
  </r>
  <r>
    <s v="CUST0995"/>
    <s v="Lakshit Ramachandran"/>
    <n v="61"/>
    <x v="0"/>
    <x v="1"/>
    <x v="0"/>
    <x v="994"/>
    <x v="994"/>
    <x v="417"/>
    <x v="132"/>
    <n v="71295"/>
    <x v="3"/>
    <x v="0"/>
    <x v="36"/>
  </r>
  <r>
    <s v="CUST0996"/>
    <s v="Dhanush Sharaf"/>
    <n v="45"/>
    <x v="1"/>
    <x v="0"/>
    <x v="2"/>
    <x v="995"/>
    <x v="995"/>
    <x v="259"/>
    <x v="33"/>
    <n v="37632"/>
    <x v="1"/>
    <x v="1"/>
    <x v="14"/>
  </r>
  <r>
    <s v="CUST0997"/>
    <s v="Sahil Dua"/>
    <n v="51"/>
    <x v="1"/>
    <x v="4"/>
    <x v="1"/>
    <x v="996"/>
    <x v="996"/>
    <x v="479"/>
    <x v="146"/>
    <n v="192213"/>
    <x v="1"/>
    <x v="1"/>
    <x v="4"/>
  </r>
  <r>
    <s v="CUST0998"/>
    <s v="Myra Lalla"/>
    <n v="36"/>
    <x v="1"/>
    <x v="1"/>
    <x v="1"/>
    <x v="997"/>
    <x v="997"/>
    <x v="80"/>
    <x v="232"/>
    <n v="45305"/>
    <x v="0"/>
    <x v="0"/>
    <x v="38"/>
  </r>
  <r>
    <s v="CUST0999"/>
    <s v="Stuvan Kalita"/>
    <n v="47"/>
    <x v="1"/>
    <x v="4"/>
    <x v="1"/>
    <x v="998"/>
    <x v="998"/>
    <x v="171"/>
    <x v="95"/>
    <n v="103599"/>
    <x v="3"/>
    <x v="0"/>
    <x v="19"/>
  </r>
  <r>
    <s v="CUST1000"/>
    <s v="Khushi Desai"/>
    <n v="36"/>
    <x v="1"/>
    <x v="6"/>
    <x v="3"/>
    <x v="999"/>
    <x v="999"/>
    <x v="180"/>
    <x v="151"/>
    <n v="90234"/>
    <x v="2"/>
    <x v="1"/>
    <x v="33"/>
  </r>
  <r>
    <s v="CUST1001"/>
    <s v="Chirag Char"/>
    <n v="69"/>
    <x v="0"/>
    <x v="5"/>
    <x v="0"/>
    <x v="1000"/>
    <x v="1000"/>
    <x v="59"/>
    <x v="157"/>
    <n v="135854"/>
    <x v="1"/>
    <x v="1"/>
    <x v="22"/>
  </r>
  <r>
    <s v="CUST1002"/>
    <s v="Vardaniya Khatri"/>
    <n v="44"/>
    <x v="1"/>
    <x v="3"/>
    <x v="0"/>
    <x v="1001"/>
    <x v="1001"/>
    <x v="318"/>
    <x v="241"/>
    <n v="78015"/>
    <x v="0"/>
    <x v="1"/>
    <x v="26"/>
  </r>
  <r>
    <s v="CUST1003"/>
    <s v="Myra Kapadia"/>
    <n v="23"/>
    <x v="0"/>
    <x v="5"/>
    <x v="2"/>
    <x v="1002"/>
    <x v="1002"/>
    <x v="491"/>
    <x v="169"/>
    <n v="224585"/>
    <x v="3"/>
    <x v="1"/>
    <x v="1"/>
  </r>
  <r>
    <s v="CUST1004"/>
    <s v="Nitara Taneja"/>
    <n v="63"/>
    <x v="0"/>
    <x v="7"/>
    <x v="0"/>
    <x v="1003"/>
    <x v="1003"/>
    <x v="151"/>
    <x v="292"/>
    <n v="80118"/>
    <x v="0"/>
    <x v="0"/>
    <x v="14"/>
  </r>
  <r>
    <s v="CUST1005"/>
    <s v="Jivin Rajagopal"/>
    <n v="50"/>
    <x v="0"/>
    <x v="7"/>
    <x v="3"/>
    <x v="1004"/>
    <x v="1004"/>
    <x v="58"/>
    <x v="90"/>
    <n v="124316"/>
    <x v="0"/>
    <x v="1"/>
    <x v="20"/>
  </r>
  <r>
    <s v="CUST1006"/>
    <s v="Riaan Thaman"/>
    <n v="59"/>
    <x v="0"/>
    <x v="0"/>
    <x v="0"/>
    <x v="1005"/>
    <x v="1005"/>
    <x v="460"/>
    <x v="119"/>
    <n v="125054"/>
    <x v="0"/>
    <x v="0"/>
    <x v="10"/>
  </r>
  <r>
    <s v="CUST1007"/>
    <s v="Saira Khalsa"/>
    <n v="24"/>
    <x v="0"/>
    <x v="6"/>
    <x v="3"/>
    <x v="1006"/>
    <x v="1006"/>
    <x v="368"/>
    <x v="400"/>
    <n v="212904"/>
    <x v="2"/>
    <x v="0"/>
    <x v="27"/>
  </r>
  <r>
    <s v="CUST1008"/>
    <s v="Vritika Raman"/>
    <n v="24"/>
    <x v="0"/>
    <x v="0"/>
    <x v="3"/>
    <x v="1007"/>
    <x v="1007"/>
    <x v="112"/>
    <x v="334"/>
    <n v="89276"/>
    <x v="2"/>
    <x v="1"/>
    <x v="14"/>
  </r>
  <r>
    <s v="CUST1009"/>
    <s v="Hrishita Shah"/>
    <n v="62"/>
    <x v="1"/>
    <x v="2"/>
    <x v="1"/>
    <x v="1008"/>
    <x v="1008"/>
    <x v="216"/>
    <x v="136"/>
    <n v="159776"/>
    <x v="3"/>
    <x v="0"/>
    <x v="21"/>
  </r>
  <r>
    <s v="CUST1010"/>
    <s v="Ojas Chacko"/>
    <n v="43"/>
    <x v="1"/>
    <x v="3"/>
    <x v="0"/>
    <x v="1009"/>
    <x v="1009"/>
    <x v="492"/>
    <x v="257"/>
    <n v="222166"/>
    <x v="0"/>
    <x v="0"/>
    <x v="1"/>
  </r>
  <r>
    <s v="CUST1011"/>
    <s v="Umang Wali"/>
    <n v="31"/>
    <x v="1"/>
    <x v="1"/>
    <x v="0"/>
    <x v="1010"/>
    <x v="1010"/>
    <x v="280"/>
    <x v="133"/>
    <n v="246709"/>
    <x v="2"/>
    <x v="1"/>
    <x v="21"/>
  </r>
  <r>
    <s v="CUST1012"/>
    <s v="Fateh Sampath"/>
    <n v="44"/>
    <x v="1"/>
    <x v="7"/>
    <x v="3"/>
    <x v="1011"/>
    <x v="1011"/>
    <x v="378"/>
    <x v="425"/>
    <n v="101646"/>
    <x v="3"/>
    <x v="1"/>
    <x v="32"/>
  </r>
  <r>
    <s v="CUST1013"/>
    <s v="Ehsaan Sarraf"/>
    <n v="52"/>
    <x v="0"/>
    <x v="2"/>
    <x v="1"/>
    <x v="1012"/>
    <x v="1012"/>
    <x v="73"/>
    <x v="108"/>
    <n v="151023"/>
    <x v="0"/>
    <x v="1"/>
    <x v="32"/>
  </r>
  <r>
    <s v="CUST1014"/>
    <s v="Anahi Shere"/>
    <n v="26"/>
    <x v="0"/>
    <x v="7"/>
    <x v="1"/>
    <x v="1013"/>
    <x v="1013"/>
    <x v="360"/>
    <x v="405"/>
    <n v="218413"/>
    <x v="2"/>
    <x v="0"/>
    <x v="11"/>
  </r>
  <r>
    <s v="CUST1015"/>
    <s v="Uthkarsh Doshi"/>
    <n v="58"/>
    <x v="1"/>
    <x v="2"/>
    <x v="1"/>
    <x v="1014"/>
    <x v="1014"/>
    <x v="246"/>
    <x v="232"/>
    <n v="230541"/>
    <x v="1"/>
    <x v="1"/>
    <x v="21"/>
  </r>
  <r>
    <s v="CUST1016"/>
    <s v="Ritvik Bhat"/>
    <n v="51"/>
    <x v="0"/>
    <x v="5"/>
    <x v="3"/>
    <x v="1015"/>
    <x v="1015"/>
    <x v="332"/>
    <x v="133"/>
    <n v="104511"/>
    <x v="2"/>
    <x v="1"/>
    <x v="4"/>
  </r>
  <r>
    <s v="CUST1017"/>
    <s v="Kiara Handa"/>
    <n v="31"/>
    <x v="1"/>
    <x v="7"/>
    <x v="3"/>
    <x v="1016"/>
    <x v="1016"/>
    <x v="314"/>
    <x v="20"/>
    <n v="106553"/>
    <x v="2"/>
    <x v="0"/>
    <x v="24"/>
  </r>
  <r>
    <s v="CUST1018"/>
    <s v="Zoya Chandran"/>
    <n v="27"/>
    <x v="0"/>
    <x v="4"/>
    <x v="3"/>
    <x v="1017"/>
    <x v="1017"/>
    <x v="368"/>
    <x v="279"/>
    <n v="143337"/>
    <x v="0"/>
    <x v="0"/>
    <x v="11"/>
  </r>
  <r>
    <s v="CUST1019"/>
    <s v="Nayantara Srinivas"/>
    <n v="57"/>
    <x v="0"/>
    <x v="1"/>
    <x v="3"/>
    <x v="1018"/>
    <x v="1018"/>
    <x v="41"/>
    <x v="434"/>
    <n v="142865"/>
    <x v="1"/>
    <x v="1"/>
    <x v="2"/>
  </r>
  <r>
    <s v="CUST1020"/>
    <s v="Sumer Sur"/>
    <n v="55"/>
    <x v="0"/>
    <x v="2"/>
    <x v="2"/>
    <x v="1019"/>
    <x v="1019"/>
    <x v="395"/>
    <x v="109"/>
    <n v="211187"/>
    <x v="0"/>
    <x v="0"/>
    <x v="13"/>
  </r>
  <r>
    <s v="CUST1021"/>
    <s v="Onkar Toor"/>
    <n v="35"/>
    <x v="1"/>
    <x v="5"/>
    <x v="3"/>
    <x v="1020"/>
    <x v="1020"/>
    <x v="493"/>
    <x v="224"/>
    <n v="66746"/>
    <x v="2"/>
    <x v="0"/>
    <x v="1"/>
  </r>
  <r>
    <s v="CUST1022"/>
    <s v="Neysa Singh"/>
    <n v="28"/>
    <x v="0"/>
    <x v="3"/>
    <x v="2"/>
    <x v="1021"/>
    <x v="1021"/>
    <x v="153"/>
    <x v="144"/>
    <n v="20700"/>
    <x v="2"/>
    <x v="0"/>
    <x v="39"/>
  </r>
  <r>
    <s v="CUST1023"/>
    <s v="Umang Lad"/>
    <n v="38"/>
    <x v="1"/>
    <x v="5"/>
    <x v="3"/>
    <x v="1022"/>
    <x v="1022"/>
    <x v="188"/>
    <x v="194"/>
    <n v="40391"/>
    <x v="0"/>
    <x v="0"/>
    <x v="3"/>
  </r>
  <r>
    <s v="CUST1024"/>
    <s v="Tushar Chawla"/>
    <n v="53"/>
    <x v="1"/>
    <x v="2"/>
    <x v="2"/>
    <x v="1023"/>
    <x v="1023"/>
    <x v="234"/>
    <x v="435"/>
    <n v="123087"/>
    <x v="3"/>
    <x v="1"/>
    <x v="4"/>
  </r>
  <r>
    <s v="CUST1025"/>
    <s v="Amira Wable"/>
    <n v="63"/>
    <x v="0"/>
    <x v="0"/>
    <x v="3"/>
    <x v="1024"/>
    <x v="1024"/>
    <x v="187"/>
    <x v="124"/>
    <n v="57456"/>
    <x v="3"/>
    <x v="0"/>
    <x v="39"/>
  </r>
  <r>
    <s v="CUST1026"/>
    <s v="Zain Balakrishnan"/>
    <n v="41"/>
    <x v="0"/>
    <x v="0"/>
    <x v="3"/>
    <x v="1025"/>
    <x v="1025"/>
    <x v="362"/>
    <x v="436"/>
    <n v="244230"/>
    <x v="3"/>
    <x v="0"/>
    <x v="26"/>
  </r>
  <r>
    <s v="CUST1027"/>
    <s v="Adira Chakraborty"/>
    <n v="30"/>
    <x v="1"/>
    <x v="6"/>
    <x v="0"/>
    <x v="1026"/>
    <x v="1026"/>
    <x v="494"/>
    <x v="352"/>
    <n v="135888"/>
    <x v="1"/>
    <x v="0"/>
    <x v="27"/>
  </r>
  <r>
    <s v="CUST1028"/>
    <s v="Anaya Dani"/>
    <n v="59"/>
    <x v="0"/>
    <x v="4"/>
    <x v="1"/>
    <x v="1027"/>
    <x v="1027"/>
    <x v="495"/>
    <x v="223"/>
    <n v="92076"/>
    <x v="2"/>
    <x v="0"/>
    <x v="26"/>
  </r>
  <r>
    <s v="CUST1029"/>
    <s v="Ira Jain"/>
    <n v="48"/>
    <x v="0"/>
    <x v="3"/>
    <x v="2"/>
    <x v="1028"/>
    <x v="1028"/>
    <x v="466"/>
    <x v="33"/>
    <n v="216591"/>
    <x v="0"/>
    <x v="1"/>
    <x v="16"/>
  </r>
  <r>
    <s v="CUST1030"/>
    <s v="Hiran Bhargava"/>
    <n v="25"/>
    <x v="1"/>
    <x v="1"/>
    <x v="0"/>
    <x v="1029"/>
    <x v="1029"/>
    <x v="392"/>
    <x v="424"/>
    <n v="34692"/>
    <x v="1"/>
    <x v="1"/>
    <x v="40"/>
  </r>
  <r>
    <s v="CUST1031"/>
    <s v="Zoya Dani"/>
    <n v="63"/>
    <x v="1"/>
    <x v="0"/>
    <x v="0"/>
    <x v="1030"/>
    <x v="1030"/>
    <x v="496"/>
    <x v="264"/>
    <n v="64358"/>
    <x v="0"/>
    <x v="0"/>
    <x v="20"/>
  </r>
  <r>
    <s v="CUST1032"/>
    <s v="Ritvik Buch"/>
    <n v="70"/>
    <x v="1"/>
    <x v="1"/>
    <x v="1"/>
    <x v="1031"/>
    <x v="1031"/>
    <x v="280"/>
    <x v="218"/>
    <n v="219568"/>
    <x v="3"/>
    <x v="0"/>
    <x v="3"/>
  </r>
  <r>
    <s v="CUST1033"/>
    <s v="Nakul Chawla"/>
    <n v="37"/>
    <x v="0"/>
    <x v="4"/>
    <x v="0"/>
    <x v="1032"/>
    <x v="1032"/>
    <x v="162"/>
    <x v="314"/>
    <n v="91765"/>
    <x v="0"/>
    <x v="0"/>
    <x v="30"/>
  </r>
  <r>
    <s v="CUST1034"/>
    <s v="Riaan Raja"/>
    <n v="29"/>
    <x v="0"/>
    <x v="1"/>
    <x v="3"/>
    <x v="1033"/>
    <x v="1033"/>
    <x v="225"/>
    <x v="40"/>
    <n v="211247"/>
    <x v="2"/>
    <x v="0"/>
    <x v="31"/>
  </r>
  <r>
    <s v="CUST1035"/>
    <s v="Anahita Mammen"/>
    <n v="64"/>
    <x v="0"/>
    <x v="6"/>
    <x v="0"/>
    <x v="1034"/>
    <x v="1034"/>
    <x v="497"/>
    <x v="71"/>
    <n v="84679"/>
    <x v="2"/>
    <x v="1"/>
    <x v="8"/>
  </r>
  <r>
    <s v="CUST1036"/>
    <s v="Madhav Mall"/>
    <n v="29"/>
    <x v="0"/>
    <x v="3"/>
    <x v="3"/>
    <x v="1035"/>
    <x v="1035"/>
    <x v="455"/>
    <x v="284"/>
    <n v="93128"/>
    <x v="1"/>
    <x v="1"/>
    <x v="11"/>
  </r>
  <r>
    <s v="CUST1037"/>
    <s v="Vivaan Babu"/>
    <n v="34"/>
    <x v="1"/>
    <x v="3"/>
    <x v="0"/>
    <x v="1036"/>
    <x v="1036"/>
    <x v="498"/>
    <x v="4"/>
    <n v="44225"/>
    <x v="2"/>
    <x v="0"/>
    <x v="1"/>
  </r>
  <r>
    <s v="CUST1038"/>
    <s v="Myra Jani"/>
    <n v="52"/>
    <x v="1"/>
    <x v="1"/>
    <x v="3"/>
    <x v="1037"/>
    <x v="1037"/>
    <x v="204"/>
    <x v="52"/>
    <n v="169084"/>
    <x v="1"/>
    <x v="0"/>
    <x v="39"/>
  </r>
  <r>
    <s v="CUST1039"/>
    <s v="Ritvik Batta"/>
    <n v="50"/>
    <x v="0"/>
    <x v="4"/>
    <x v="2"/>
    <x v="1038"/>
    <x v="1038"/>
    <x v="499"/>
    <x v="60"/>
    <n v="222744"/>
    <x v="2"/>
    <x v="1"/>
    <x v="37"/>
  </r>
  <r>
    <s v="CUST1040"/>
    <s v="Stuvan Kar"/>
    <n v="41"/>
    <x v="1"/>
    <x v="7"/>
    <x v="2"/>
    <x v="1039"/>
    <x v="1039"/>
    <x v="300"/>
    <x v="437"/>
    <n v="167788"/>
    <x v="2"/>
    <x v="1"/>
    <x v="32"/>
  </r>
  <r>
    <s v="CUST1041"/>
    <s v="Pranay Issac"/>
    <n v="39"/>
    <x v="0"/>
    <x v="7"/>
    <x v="1"/>
    <x v="1040"/>
    <x v="1040"/>
    <x v="478"/>
    <x v="369"/>
    <n v="108256"/>
    <x v="2"/>
    <x v="1"/>
    <x v="31"/>
  </r>
  <r>
    <s v="CUST1042"/>
    <s v="Ryan Mall"/>
    <n v="64"/>
    <x v="1"/>
    <x v="6"/>
    <x v="0"/>
    <x v="1041"/>
    <x v="1041"/>
    <x v="151"/>
    <x v="256"/>
    <n v="124682"/>
    <x v="3"/>
    <x v="0"/>
    <x v="18"/>
  </r>
  <r>
    <s v="CUST1043"/>
    <s v="Arhaan Sarkar"/>
    <n v="44"/>
    <x v="0"/>
    <x v="6"/>
    <x v="2"/>
    <x v="1042"/>
    <x v="1042"/>
    <x v="68"/>
    <x v="206"/>
    <n v="131645"/>
    <x v="3"/>
    <x v="0"/>
    <x v="20"/>
  </r>
  <r>
    <s v="CUST1044"/>
    <s v="Keya Mangal"/>
    <n v="60"/>
    <x v="0"/>
    <x v="5"/>
    <x v="1"/>
    <x v="1043"/>
    <x v="1043"/>
    <x v="107"/>
    <x v="352"/>
    <n v="107332"/>
    <x v="2"/>
    <x v="0"/>
    <x v="39"/>
  </r>
  <r>
    <s v="CUST1045"/>
    <s v="Ehsaan Shenoy"/>
    <n v="47"/>
    <x v="0"/>
    <x v="1"/>
    <x v="2"/>
    <x v="1044"/>
    <x v="1044"/>
    <x v="437"/>
    <x v="90"/>
    <n v="20221"/>
    <x v="2"/>
    <x v="0"/>
    <x v="4"/>
  </r>
  <r>
    <s v="CUST1046"/>
    <s v="Hridaan Dewan"/>
    <n v="64"/>
    <x v="1"/>
    <x v="2"/>
    <x v="1"/>
    <x v="1045"/>
    <x v="1045"/>
    <x v="116"/>
    <x v="230"/>
    <n v="84155"/>
    <x v="2"/>
    <x v="0"/>
    <x v="22"/>
  </r>
  <r>
    <s v="CUST1047"/>
    <s v="Badal Contractor"/>
    <n v="48"/>
    <x v="1"/>
    <x v="3"/>
    <x v="3"/>
    <x v="1046"/>
    <x v="1046"/>
    <x v="500"/>
    <x v="134"/>
    <n v="195226"/>
    <x v="3"/>
    <x v="1"/>
    <x v="37"/>
  </r>
  <r>
    <s v="CUST1048"/>
    <s v="Neelofar Karnik"/>
    <n v="67"/>
    <x v="0"/>
    <x v="5"/>
    <x v="1"/>
    <x v="1047"/>
    <x v="1047"/>
    <x v="362"/>
    <x v="286"/>
    <n v="105750"/>
    <x v="0"/>
    <x v="0"/>
    <x v="21"/>
  </r>
  <r>
    <s v="CUST1049"/>
    <s v="Kaira Chaudhuri"/>
    <n v="56"/>
    <x v="1"/>
    <x v="2"/>
    <x v="2"/>
    <x v="1048"/>
    <x v="1048"/>
    <x v="347"/>
    <x v="11"/>
    <n v="66703"/>
    <x v="3"/>
    <x v="1"/>
    <x v="30"/>
  </r>
  <r>
    <s v="CUST1050"/>
    <s v="Darshit Soman"/>
    <n v="30"/>
    <x v="1"/>
    <x v="3"/>
    <x v="3"/>
    <x v="1049"/>
    <x v="1049"/>
    <x v="98"/>
    <x v="312"/>
    <n v="31599"/>
    <x v="1"/>
    <x v="1"/>
    <x v="1"/>
  </r>
  <r>
    <s v="CUST1051"/>
    <s v="Vivaan Bajaj"/>
    <n v="61"/>
    <x v="0"/>
    <x v="4"/>
    <x v="0"/>
    <x v="1050"/>
    <x v="1050"/>
    <x v="48"/>
    <x v="198"/>
    <n v="235292"/>
    <x v="1"/>
    <x v="0"/>
    <x v="31"/>
  </r>
  <r>
    <s v="CUST1052"/>
    <s v="Dhanuk Bala"/>
    <n v="59"/>
    <x v="1"/>
    <x v="4"/>
    <x v="0"/>
    <x v="1051"/>
    <x v="1051"/>
    <x v="261"/>
    <x v="154"/>
    <n v="246090"/>
    <x v="2"/>
    <x v="1"/>
    <x v="19"/>
  </r>
  <r>
    <s v="CUST1053"/>
    <s v="Heer Kumar"/>
    <n v="45"/>
    <x v="1"/>
    <x v="5"/>
    <x v="1"/>
    <x v="1052"/>
    <x v="1052"/>
    <x v="501"/>
    <x v="422"/>
    <n v="222207"/>
    <x v="1"/>
    <x v="1"/>
    <x v="39"/>
  </r>
  <r>
    <s v="CUST1054"/>
    <s v="Kartik Dugal"/>
    <n v="25"/>
    <x v="0"/>
    <x v="7"/>
    <x v="3"/>
    <x v="1053"/>
    <x v="1053"/>
    <x v="502"/>
    <x v="72"/>
    <n v="225912"/>
    <x v="1"/>
    <x v="0"/>
    <x v="5"/>
  </r>
  <r>
    <s v="CUST1055"/>
    <s v="Tarini Bhandari"/>
    <n v="50"/>
    <x v="0"/>
    <x v="2"/>
    <x v="1"/>
    <x v="1054"/>
    <x v="1054"/>
    <x v="338"/>
    <x v="340"/>
    <n v="233079"/>
    <x v="2"/>
    <x v="1"/>
    <x v="22"/>
  </r>
  <r>
    <s v="CUST1056"/>
    <s v="Vedika Golla"/>
    <n v="21"/>
    <x v="0"/>
    <x v="6"/>
    <x v="2"/>
    <x v="1055"/>
    <x v="1055"/>
    <x v="423"/>
    <x v="346"/>
    <n v="177110"/>
    <x v="1"/>
    <x v="1"/>
    <x v="4"/>
  </r>
  <r>
    <s v="CUST1057"/>
    <s v="Zaina Kadakia"/>
    <n v="44"/>
    <x v="0"/>
    <x v="0"/>
    <x v="2"/>
    <x v="1056"/>
    <x v="1056"/>
    <x v="380"/>
    <x v="286"/>
    <n v="24592"/>
    <x v="3"/>
    <x v="0"/>
    <x v="23"/>
  </r>
  <r>
    <s v="CUST1058"/>
    <s v="Charvi Desai"/>
    <n v="52"/>
    <x v="1"/>
    <x v="4"/>
    <x v="2"/>
    <x v="1057"/>
    <x v="1057"/>
    <x v="388"/>
    <x v="431"/>
    <n v="44791"/>
    <x v="2"/>
    <x v="0"/>
    <x v="6"/>
  </r>
  <r>
    <s v="CUST1059"/>
    <s v="Pranay Saran"/>
    <n v="22"/>
    <x v="0"/>
    <x v="5"/>
    <x v="3"/>
    <x v="1058"/>
    <x v="1058"/>
    <x v="407"/>
    <x v="249"/>
    <n v="105613"/>
    <x v="2"/>
    <x v="1"/>
    <x v="24"/>
  </r>
  <r>
    <s v="CUST1060"/>
    <s v="Amira Reddy"/>
    <n v="19"/>
    <x v="0"/>
    <x v="1"/>
    <x v="3"/>
    <x v="1059"/>
    <x v="1059"/>
    <x v="294"/>
    <x v="319"/>
    <n v="68216"/>
    <x v="1"/>
    <x v="0"/>
    <x v="6"/>
  </r>
  <r>
    <s v="CUST1061"/>
    <s v="Tushar Srivastava"/>
    <n v="62"/>
    <x v="1"/>
    <x v="3"/>
    <x v="3"/>
    <x v="1060"/>
    <x v="1060"/>
    <x v="136"/>
    <x v="97"/>
    <n v="229441"/>
    <x v="0"/>
    <x v="1"/>
    <x v="37"/>
  </r>
  <r>
    <s v="CUST1062"/>
    <s v="Nakul Sahota"/>
    <n v="29"/>
    <x v="0"/>
    <x v="6"/>
    <x v="3"/>
    <x v="1061"/>
    <x v="1061"/>
    <x v="503"/>
    <x v="231"/>
    <n v="197788"/>
    <x v="2"/>
    <x v="1"/>
    <x v="28"/>
  </r>
  <r>
    <s v="CUST1063"/>
    <s v="Prisha Bhatnagar"/>
    <n v="24"/>
    <x v="1"/>
    <x v="0"/>
    <x v="3"/>
    <x v="1062"/>
    <x v="1062"/>
    <x v="504"/>
    <x v="169"/>
    <n v="78018"/>
    <x v="2"/>
    <x v="1"/>
    <x v="12"/>
  </r>
  <r>
    <s v="CUST1064"/>
    <s v="Tiya Hayre"/>
    <n v="53"/>
    <x v="1"/>
    <x v="1"/>
    <x v="2"/>
    <x v="1063"/>
    <x v="1063"/>
    <x v="295"/>
    <x v="366"/>
    <n v="23294"/>
    <x v="2"/>
    <x v="1"/>
    <x v="3"/>
  </r>
  <r>
    <s v="CUST1065"/>
    <s v="Nakul Bobal"/>
    <n v="43"/>
    <x v="1"/>
    <x v="2"/>
    <x v="2"/>
    <x v="1064"/>
    <x v="1064"/>
    <x v="172"/>
    <x v="114"/>
    <n v="28458"/>
    <x v="1"/>
    <x v="1"/>
    <x v="22"/>
  </r>
  <r>
    <s v="CUST1066"/>
    <s v="Anvi Tella"/>
    <n v="36"/>
    <x v="0"/>
    <x v="5"/>
    <x v="1"/>
    <x v="1065"/>
    <x v="1065"/>
    <x v="411"/>
    <x v="2"/>
    <n v="216832"/>
    <x v="2"/>
    <x v="0"/>
    <x v="26"/>
  </r>
  <r>
    <s v="CUST1067"/>
    <s v="Shamik Walla"/>
    <n v="66"/>
    <x v="0"/>
    <x v="0"/>
    <x v="0"/>
    <x v="1066"/>
    <x v="1066"/>
    <x v="38"/>
    <x v="254"/>
    <n v="94419"/>
    <x v="0"/>
    <x v="1"/>
    <x v="37"/>
  </r>
  <r>
    <s v="CUST1068"/>
    <s v="Kabir Raj"/>
    <n v="31"/>
    <x v="1"/>
    <x v="0"/>
    <x v="3"/>
    <x v="1067"/>
    <x v="1067"/>
    <x v="259"/>
    <x v="32"/>
    <n v="75392"/>
    <x v="3"/>
    <x v="1"/>
    <x v="29"/>
  </r>
  <r>
    <s v="CUST1069"/>
    <s v="Madhup Doshi"/>
    <n v="56"/>
    <x v="1"/>
    <x v="0"/>
    <x v="2"/>
    <x v="1068"/>
    <x v="1068"/>
    <x v="336"/>
    <x v="395"/>
    <n v="93106"/>
    <x v="2"/>
    <x v="1"/>
    <x v="7"/>
  </r>
  <r>
    <s v="CUST1070"/>
    <s v="Yuvaan Borah"/>
    <n v="66"/>
    <x v="1"/>
    <x v="6"/>
    <x v="0"/>
    <x v="1069"/>
    <x v="1069"/>
    <x v="415"/>
    <x v="217"/>
    <n v="141612"/>
    <x v="1"/>
    <x v="1"/>
    <x v="7"/>
  </r>
  <r>
    <s v="CUST1071"/>
    <s v="Sana Doshi"/>
    <n v="59"/>
    <x v="1"/>
    <x v="0"/>
    <x v="2"/>
    <x v="1070"/>
    <x v="1070"/>
    <x v="358"/>
    <x v="297"/>
    <n v="65159"/>
    <x v="0"/>
    <x v="0"/>
    <x v="14"/>
  </r>
  <r>
    <s v="CUST1072"/>
    <s v="Zara Virk"/>
    <n v="26"/>
    <x v="0"/>
    <x v="5"/>
    <x v="2"/>
    <x v="1071"/>
    <x v="1071"/>
    <x v="505"/>
    <x v="433"/>
    <n v="179830"/>
    <x v="3"/>
    <x v="1"/>
    <x v="21"/>
  </r>
  <r>
    <s v="CUST1073"/>
    <s v="Divit Vasa"/>
    <n v="61"/>
    <x v="0"/>
    <x v="3"/>
    <x v="1"/>
    <x v="1072"/>
    <x v="1072"/>
    <x v="173"/>
    <x v="216"/>
    <n v="43846"/>
    <x v="1"/>
    <x v="0"/>
    <x v="36"/>
  </r>
  <r>
    <s v="CUST1074"/>
    <s v="Drishya Konda"/>
    <n v="29"/>
    <x v="0"/>
    <x v="1"/>
    <x v="1"/>
    <x v="1073"/>
    <x v="1073"/>
    <x v="105"/>
    <x v="438"/>
    <n v="143776"/>
    <x v="2"/>
    <x v="0"/>
    <x v="4"/>
  </r>
  <r>
    <s v="CUST1075"/>
    <s v="Amira Garg"/>
    <n v="61"/>
    <x v="0"/>
    <x v="5"/>
    <x v="2"/>
    <x v="1074"/>
    <x v="1074"/>
    <x v="30"/>
    <x v="108"/>
    <n v="178138"/>
    <x v="3"/>
    <x v="1"/>
    <x v="36"/>
  </r>
  <r>
    <s v="CUST1076"/>
    <s v="Indrans Gokhale"/>
    <n v="64"/>
    <x v="1"/>
    <x v="0"/>
    <x v="0"/>
    <x v="1075"/>
    <x v="1075"/>
    <x v="213"/>
    <x v="299"/>
    <n v="38308"/>
    <x v="2"/>
    <x v="1"/>
    <x v="24"/>
  </r>
  <r>
    <s v="CUST1077"/>
    <s v="Eshani Kata"/>
    <n v="63"/>
    <x v="1"/>
    <x v="7"/>
    <x v="3"/>
    <x v="1076"/>
    <x v="1076"/>
    <x v="337"/>
    <x v="355"/>
    <n v="160860"/>
    <x v="2"/>
    <x v="0"/>
    <x v="20"/>
  </r>
  <r>
    <s v="CUST1078"/>
    <s v="Biju Kumar"/>
    <n v="41"/>
    <x v="0"/>
    <x v="3"/>
    <x v="3"/>
    <x v="1077"/>
    <x v="1077"/>
    <x v="506"/>
    <x v="8"/>
    <n v="124708"/>
    <x v="0"/>
    <x v="0"/>
    <x v="28"/>
  </r>
  <r>
    <s v="CUST1079"/>
    <s v="Saksham Kade"/>
    <n v="41"/>
    <x v="1"/>
    <x v="2"/>
    <x v="3"/>
    <x v="1078"/>
    <x v="1078"/>
    <x v="500"/>
    <x v="140"/>
    <n v="128237"/>
    <x v="0"/>
    <x v="1"/>
    <x v="22"/>
  </r>
  <r>
    <s v="CUST1080"/>
    <s v="Lavanya Warrior"/>
    <n v="63"/>
    <x v="1"/>
    <x v="4"/>
    <x v="3"/>
    <x v="1079"/>
    <x v="1079"/>
    <x v="507"/>
    <x v="159"/>
    <n v="148863"/>
    <x v="1"/>
    <x v="0"/>
    <x v="32"/>
  </r>
  <r>
    <s v="CUST1081"/>
    <s v="Dhruv Lad"/>
    <n v="66"/>
    <x v="1"/>
    <x v="6"/>
    <x v="3"/>
    <x v="1080"/>
    <x v="1080"/>
    <x v="504"/>
    <x v="222"/>
    <n v="56705"/>
    <x v="3"/>
    <x v="1"/>
    <x v="16"/>
  </r>
  <r>
    <s v="CUST1082"/>
    <s v="Inaaya  Kuruvilla"/>
    <n v="48"/>
    <x v="1"/>
    <x v="6"/>
    <x v="2"/>
    <x v="1081"/>
    <x v="1081"/>
    <x v="215"/>
    <x v="141"/>
    <n v="206929"/>
    <x v="0"/>
    <x v="0"/>
    <x v="12"/>
  </r>
  <r>
    <s v="CUST1083"/>
    <s v="Kiara Khalsa"/>
    <n v="55"/>
    <x v="1"/>
    <x v="4"/>
    <x v="2"/>
    <x v="1082"/>
    <x v="1082"/>
    <x v="465"/>
    <x v="439"/>
    <n v="99418"/>
    <x v="1"/>
    <x v="0"/>
    <x v="36"/>
  </r>
  <r>
    <s v="CUST1084"/>
    <s v="Lagan Walla"/>
    <n v="55"/>
    <x v="0"/>
    <x v="4"/>
    <x v="2"/>
    <x v="1083"/>
    <x v="1083"/>
    <x v="508"/>
    <x v="299"/>
    <n v="243506"/>
    <x v="2"/>
    <x v="1"/>
    <x v="37"/>
  </r>
  <r>
    <s v="CUST1085"/>
    <s v="Tanya Saxena"/>
    <n v="18"/>
    <x v="1"/>
    <x v="2"/>
    <x v="2"/>
    <x v="1084"/>
    <x v="1084"/>
    <x v="509"/>
    <x v="42"/>
    <n v="195307"/>
    <x v="1"/>
    <x v="1"/>
    <x v="2"/>
  </r>
  <r>
    <s v="CUST1086"/>
    <s v="Miraan Uppal"/>
    <n v="47"/>
    <x v="0"/>
    <x v="5"/>
    <x v="0"/>
    <x v="1085"/>
    <x v="1085"/>
    <x v="233"/>
    <x v="219"/>
    <n v="169266"/>
    <x v="2"/>
    <x v="0"/>
    <x v="2"/>
  </r>
  <r>
    <s v="CUST1087"/>
    <s v="Hiran Saraf"/>
    <n v="39"/>
    <x v="0"/>
    <x v="7"/>
    <x v="1"/>
    <x v="1086"/>
    <x v="1086"/>
    <x v="510"/>
    <x v="342"/>
    <n v="153016"/>
    <x v="3"/>
    <x v="0"/>
    <x v="8"/>
  </r>
  <r>
    <s v="CUST1088"/>
    <s v="Samiha Dasgupta"/>
    <n v="34"/>
    <x v="1"/>
    <x v="3"/>
    <x v="0"/>
    <x v="1087"/>
    <x v="1087"/>
    <x v="443"/>
    <x v="440"/>
    <n v="228999"/>
    <x v="1"/>
    <x v="1"/>
    <x v="32"/>
  </r>
  <r>
    <s v="CUST1089"/>
    <s v="Shlok Vohra"/>
    <n v="23"/>
    <x v="1"/>
    <x v="7"/>
    <x v="2"/>
    <x v="1088"/>
    <x v="1088"/>
    <x v="349"/>
    <x v="373"/>
    <n v="214801"/>
    <x v="3"/>
    <x v="0"/>
    <x v="6"/>
  </r>
  <r>
    <s v="CUST1090"/>
    <s v="Mehul Rajagopal"/>
    <n v="55"/>
    <x v="1"/>
    <x v="2"/>
    <x v="2"/>
    <x v="1089"/>
    <x v="1089"/>
    <x v="438"/>
    <x v="30"/>
    <n v="219669"/>
    <x v="2"/>
    <x v="0"/>
    <x v="28"/>
  </r>
  <r>
    <s v="CUST1091"/>
    <s v="Nayantara Tata"/>
    <n v="46"/>
    <x v="0"/>
    <x v="0"/>
    <x v="0"/>
    <x v="1090"/>
    <x v="1090"/>
    <x v="136"/>
    <x v="255"/>
    <n v="41859"/>
    <x v="2"/>
    <x v="0"/>
    <x v="22"/>
  </r>
  <r>
    <s v="CUST1092"/>
    <s v="Anay Rana"/>
    <n v="55"/>
    <x v="1"/>
    <x v="4"/>
    <x v="2"/>
    <x v="1091"/>
    <x v="1091"/>
    <x v="511"/>
    <x v="300"/>
    <n v="231226"/>
    <x v="1"/>
    <x v="1"/>
    <x v="8"/>
  </r>
  <r>
    <s v="CUST1093"/>
    <s v="Ayesha Walla"/>
    <n v="50"/>
    <x v="1"/>
    <x v="4"/>
    <x v="0"/>
    <x v="1092"/>
    <x v="1092"/>
    <x v="157"/>
    <x v="18"/>
    <n v="94384"/>
    <x v="3"/>
    <x v="1"/>
    <x v="18"/>
  </r>
  <r>
    <s v="CUST1094"/>
    <s v="Onkar Mannan"/>
    <n v="18"/>
    <x v="1"/>
    <x v="6"/>
    <x v="0"/>
    <x v="1093"/>
    <x v="1093"/>
    <x v="177"/>
    <x v="339"/>
    <n v="103678"/>
    <x v="2"/>
    <x v="1"/>
    <x v="31"/>
  </r>
  <r>
    <s v="CUST1095"/>
    <s v="Samarth Dey"/>
    <n v="58"/>
    <x v="1"/>
    <x v="6"/>
    <x v="3"/>
    <x v="1094"/>
    <x v="1094"/>
    <x v="18"/>
    <x v="134"/>
    <n v="200082"/>
    <x v="2"/>
    <x v="0"/>
    <x v="2"/>
  </r>
  <r>
    <s v="CUST1096"/>
    <s v="Tejas Gade"/>
    <n v="61"/>
    <x v="1"/>
    <x v="3"/>
    <x v="2"/>
    <x v="1095"/>
    <x v="1095"/>
    <x v="302"/>
    <x v="437"/>
    <n v="98659"/>
    <x v="3"/>
    <x v="1"/>
    <x v="29"/>
  </r>
  <r>
    <s v="CUST1097"/>
    <s v="Fateh Rastogi"/>
    <n v="51"/>
    <x v="1"/>
    <x v="6"/>
    <x v="3"/>
    <x v="1096"/>
    <x v="1096"/>
    <x v="232"/>
    <x v="429"/>
    <n v="144197"/>
    <x v="3"/>
    <x v="1"/>
    <x v="37"/>
  </r>
  <r>
    <s v="CUST1098"/>
    <s v="Aarav Gandhi"/>
    <n v="39"/>
    <x v="1"/>
    <x v="0"/>
    <x v="0"/>
    <x v="1097"/>
    <x v="1097"/>
    <x v="385"/>
    <x v="337"/>
    <n v="210502"/>
    <x v="2"/>
    <x v="0"/>
    <x v="14"/>
  </r>
  <r>
    <s v="CUST1099"/>
    <s v="Pihu Sankaran"/>
    <n v="44"/>
    <x v="0"/>
    <x v="1"/>
    <x v="3"/>
    <x v="1098"/>
    <x v="1098"/>
    <x v="75"/>
    <x v="40"/>
    <n v="112697"/>
    <x v="1"/>
    <x v="1"/>
    <x v="17"/>
  </r>
  <r>
    <s v="CUST1100"/>
    <s v="Taran Krish"/>
    <n v="19"/>
    <x v="0"/>
    <x v="4"/>
    <x v="3"/>
    <x v="1099"/>
    <x v="1099"/>
    <x v="183"/>
    <x v="441"/>
    <n v="104369"/>
    <x v="0"/>
    <x v="0"/>
    <x v="8"/>
  </r>
  <r>
    <s v="CUST1101"/>
    <s v="Mehul Kapur"/>
    <n v="33"/>
    <x v="0"/>
    <x v="0"/>
    <x v="1"/>
    <x v="1100"/>
    <x v="1100"/>
    <x v="356"/>
    <x v="123"/>
    <n v="62052"/>
    <x v="3"/>
    <x v="1"/>
    <x v="38"/>
  </r>
  <r>
    <s v="CUST1102"/>
    <s v="Divyansh Dewan"/>
    <n v="56"/>
    <x v="1"/>
    <x v="6"/>
    <x v="0"/>
    <x v="1101"/>
    <x v="1101"/>
    <x v="507"/>
    <x v="252"/>
    <n v="173646"/>
    <x v="2"/>
    <x v="0"/>
    <x v="33"/>
  </r>
  <r>
    <s v="CUST1103"/>
    <s v="Amani Shan"/>
    <n v="65"/>
    <x v="0"/>
    <x v="6"/>
    <x v="2"/>
    <x v="1102"/>
    <x v="1102"/>
    <x v="473"/>
    <x v="67"/>
    <n v="39395"/>
    <x v="0"/>
    <x v="1"/>
    <x v="29"/>
  </r>
  <r>
    <s v="CUST1104"/>
    <s v="Emir Ranganathan"/>
    <n v="33"/>
    <x v="1"/>
    <x v="7"/>
    <x v="2"/>
    <x v="1103"/>
    <x v="1103"/>
    <x v="484"/>
    <x v="102"/>
    <n v="105941"/>
    <x v="0"/>
    <x v="1"/>
    <x v="24"/>
  </r>
  <r>
    <s v="CUST1105"/>
    <s v="Onkar Sankar"/>
    <n v="41"/>
    <x v="1"/>
    <x v="5"/>
    <x v="3"/>
    <x v="1104"/>
    <x v="1104"/>
    <x v="159"/>
    <x v="425"/>
    <n v="222559"/>
    <x v="3"/>
    <x v="1"/>
    <x v="22"/>
  </r>
  <r>
    <s v="CUST1106"/>
    <s v="Hridaan Halder"/>
    <n v="34"/>
    <x v="1"/>
    <x v="4"/>
    <x v="0"/>
    <x v="1105"/>
    <x v="1105"/>
    <x v="512"/>
    <x v="87"/>
    <n v="178234"/>
    <x v="0"/>
    <x v="1"/>
    <x v="21"/>
  </r>
  <r>
    <s v="CUST1107"/>
    <s v="Mahika Bera"/>
    <n v="19"/>
    <x v="1"/>
    <x v="6"/>
    <x v="3"/>
    <x v="1106"/>
    <x v="1106"/>
    <x v="308"/>
    <x v="442"/>
    <n v="168298"/>
    <x v="0"/>
    <x v="0"/>
    <x v="39"/>
  </r>
  <r>
    <s v="CUST1108"/>
    <s v="Indrajit Sundaram"/>
    <n v="54"/>
    <x v="0"/>
    <x v="4"/>
    <x v="2"/>
    <x v="1107"/>
    <x v="1107"/>
    <x v="157"/>
    <x v="443"/>
    <n v="44154"/>
    <x v="0"/>
    <x v="1"/>
    <x v="39"/>
  </r>
  <r>
    <s v="CUST1109"/>
    <s v="Jayesh Dewan"/>
    <n v="70"/>
    <x v="0"/>
    <x v="5"/>
    <x v="1"/>
    <x v="1108"/>
    <x v="1108"/>
    <x v="513"/>
    <x v="130"/>
    <n v="92578"/>
    <x v="2"/>
    <x v="0"/>
    <x v="27"/>
  </r>
  <r>
    <s v="CUST1110"/>
    <s v="Raunak Venkataraman"/>
    <n v="43"/>
    <x v="1"/>
    <x v="0"/>
    <x v="2"/>
    <x v="1109"/>
    <x v="1109"/>
    <x v="514"/>
    <x v="231"/>
    <n v="170664"/>
    <x v="1"/>
    <x v="0"/>
    <x v="9"/>
  </r>
  <r>
    <s v="CUST1111"/>
    <s v="Misha Rau"/>
    <n v="55"/>
    <x v="1"/>
    <x v="3"/>
    <x v="2"/>
    <x v="1110"/>
    <x v="1110"/>
    <x v="515"/>
    <x v="27"/>
    <n v="196826"/>
    <x v="3"/>
    <x v="0"/>
    <x v="30"/>
  </r>
  <r>
    <s v="CUST1112"/>
    <s v="Romil Mander"/>
    <n v="37"/>
    <x v="1"/>
    <x v="2"/>
    <x v="3"/>
    <x v="1111"/>
    <x v="1111"/>
    <x v="29"/>
    <x v="241"/>
    <n v="67601"/>
    <x v="1"/>
    <x v="0"/>
    <x v="19"/>
  </r>
  <r>
    <s v="CUST1113"/>
    <s v="Drishya Sha"/>
    <n v="60"/>
    <x v="0"/>
    <x v="5"/>
    <x v="0"/>
    <x v="1112"/>
    <x v="1112"/>
    <x v="170"/>
    <x v="287"/>
    <n v="74737"/>
    <x v="3"/>
    <x v="1"/>
    <x v="37"/>
  </r>
  <r>
    <s v="CUST1114"/>
    <s v="Shlok Shanker"/>
    <n v="25"/>
    <x v="1"/>
    <x v="0"/>
    <x v="2"/>
    <x v="1113"/>
    <x v="1113"/>
    <x v="516"/>
    <x v="58"/>
    <n v="238669"/>
    <x v="3"/>
    <x v="1"/>
    <x v="15"/>
  </r>
  <r>
    <s v="CUST1115"/>
    <s v="Divyansh Kara"/>
    <n v="55"/>
    <x v="0"/>
    <x v="3"/>
    <x v="2"/>
    <x v="1114"/>
    <x v="1114"/>
    <x v="517"/>
    <x v="371"/>
    <n v="233516"/>
    <x v="0"/>
    <x v="1"/>
    <x v="25"/>
  </r>
  <r>
    <s v="CUST1116"/>
    <s v="Zaina Dara"/>
    <n v="65"/>
    <x v="0"/>
    <x v="5"/>
    <x v="1"/>
    <x v="1115"/>
    <x v="1115"/>
    <x v="84"/>
    <x v="280"/>
    <n v="178557"/>
    <x v="1"/>
    <x v="0"/>
    <x v="11"/>
  </r>
  <r>
    <s v="CUST1117"/>
    <s v="Kaira Manda"/>
    <n v="47"/>
    <x v="1"/>
    <x v="5"/>
    <x v="3"/>
    <x v="1116"/>
    <x v="1116"/>
    <x v="469"/>
    <x v="320"/>
    <n v="24232"/>
    <x v="0"/>
    <x v="1"/>
    <x v="40"/>
  </r>
  <r>
    <s v="CUST1118"/>
    <s v="Shlok Kaul"/>
    <n v="59"/>
    <x v="1"/>
    <x v="5"/>
    <x v="0"/>
    <x v="1117"/>
    <x v="1117"/>
    <x v="514"/>
    <x v="146"/>
    <n v="98825"/>
    <x v="3"/>
    <x v="0"/>
    <x v="22"/>
  </r>
  <r>
    <s v="CUST1119"/>
    <s v="Taran Dhar"/>
    <n v="29"/>
    <x v="0"/>
    <x v="7"/>
    <x v="2"/>
    <x v="1118"/>
    <x v="1118"/>
    <x v="271"/>
    <x v="124"/>
    <n v="168001"/>
    <x v="1"/>
    <x v="1"/>
    <x v="22"/>
  </r>
  <r>
    <s v="CUST1120"/>
    <s v="Kiara Khare"/>
    <n v="57"/>
    <x v="0"/>
    <x v="3"/>
    <x v="3"/>
    <x v="1119"/>
    <x v="1119"/>
    <x v="36"/>
    <x v="444"/>
    <n v="128757"/>
    <x v="0"/>
    <x v="0"/>
    <x v="24"/>
  </r>
  <r>
    <s v="CUST1121"/>
    <s v="Kartik Deo"/>
    <n v="19"/>
    <x v="1"/>
    <x v="7"/>
    <x v="0"/>
    <x v="1120"/>
    <x v="1120"/>
    <x v="151"/>
    <x v="359"/>
    <n v="150431"/>
    <x v="1"/>
    <x v="0"/>
    <x v="40"/>
  </r>
  <r>
    <s v="CUST1122"/>
    <s v="Piya Varghese"/>
    <n v="48"/>
    <x v="0"/>
    <x v="3"/>
    <x v="0"/>
    <x v="1121"/>
    <x v="1121"/>
    <x v="480"/>
    <x v="164"/>
    <n v="28971"/>
    <x v="0"/>
    <x v="1"/>
    <x v="33"/>
  </r>
  <r>
    <s v="CUST1123"/>
    <s v="Diya Dugar"/>
    <n v="32"/>
    <x v="1"/>
    <x v="3"/>
    <x v="0"/>
    <x v="1122"/>
    <x v="1122"/>
    <x v="55"/>
    <x v="361"/>
    <n v="44149"/>
    <x v="1"/>
    <x v="1"/>
    <x v="38"/>
  </r>
  <r>
    <s v="CUST1124"/>
    <s v="Vaibhav Grewal"/>
    <n v="48"/>
    <x v="0"/>
    <x v="4"/>
    <x v="1"/>
    <x v="1123"/>
    <x v="1123"/>
    <x v="138"/>
    <x v="236"/>
    <n v="87334"/>
    <x v="3"/>
    <x v="0"/>
    <x v="26"/>
  </r>
  <r>
    <s v="CUST1125"/>
    <s v="Mehul Bawa"/>
    <n v="32"/>
    <x v="0"/>
    <x v="0"/>
    <x v="3"/>
    <x v="1124"/>
    <x v="1124"/>
    <x v="130"/>
    <x v="17"/>
    <n v="154934"/>
    <x v="0"/>
    <x v="0"/>
    <x v="10"/>
  </r>
  <r>
    <s v="CUST1126"/>
    <s v="Riya Rajagopal"/>
    <n v="32"/>
    <x v="1"/>
    <x v="3"/>
    <x v="3"/>
    <x v="1125"/>
    <x v="1125"/>
    <x v="76"/>
    <x v="412"/>
    <n v="85711"/>
    <x v="2"/>
    <x v="1"/>
    <x v="38"/>
  </r>
  <r>
    <s v="CUST1127"/>
    <s v="Saksham Singh"/>
    <n v="60"/>
    <x v="1"/>
    <x v="7"/>
    <x v="2"/>
    <x v="1126"/>
    <x v="1126"/>
    <x v="518"/>
    <x v="71"/>
    <n v="58068"/>
    <x v="3"/>
    <x v="0"/>
    <x v="6"/>
  </r>
  <r>
    <s v="CUST1128"/>
    <s v="Chirag Dhaliwal"/>
    <n v="27"/>
    <x v="1"/>
    <x v="4"/>
    <x v="3"/>
    <x v="1127"/>
    <x v="1127"/>
    <x v="357"/>
    <x v="392"/>
    <n v="186364"/>
    <x v="3"/>
    <x v="1"/>
    <x v="27"/>
  </r>
  <r>
    <s v="CUST1129"/>
    <s v="Damini Vyas"/>
    <n v="46"/>
    <x v="1"/>
    <x v="5"/>
    <x v="2"/>
    <x v="1128"/>
    <x v="1128"/>
    <x v="506"/>
    <x v="152"/>
    <n v="76318"/>
    <x v="1"/>
    <x v="1"/>
    <x v="8"/>
  </r>
  <r>
    <s v="CUST1130"/>
    <s v="Himmat Garg"/>
    <n v="69"/>
    <x v="1"/>
    <x v="2"/>
    <x v="3"/>
    <x v="1129"/>
    <x v="1129"/>
    <x v="372"/>
    <x v="265"/>
    <n v="248581"/>
    <x v="2"/>
    <x v="0"/>
    <x v="40"/>
  </r>
  <r>
    <s v="CUST1131"/>
    <s v="Ahana  Kade"/>
    <n v="52"/>
    <x v="1"/>
    <x v="3"/>
    <x v="3"/>
    <x v="1130"/>
    <x v="1130"/>
    <x v="447"/>
    <x v="203"/>
    <n v="53089"/>
    <x v="1"/>
    <x v="1"/>
    <x v="33"/>
  </r>
  <r>
    <s v="CUST1132"/>
    <s v="Tarini Atwal"/>
    <n v="45"/>
    <x v="0"/>
    <x v="3"/>
    <x v="2"/>
    <x v="1131"/>
    <x v="1131"/>
    <x v="308"/>
    <x v="445"/>
    <n v="165043"/>
    <x v="0"/>
    <x v="0"/>
    <x v="21"/>
  </r>
  <r>
    <s v="CUST1133"/>
    <s v="Devansh Jani"/>
    <n v="64"/>
    <x v="0"/>
    <x v="5"/>
    <x v="2"/>
    <x v="1132"/>
    <x v="1132"/>
    <x v="513"/>
    <x v="173"/>
    <n v="215191"/>
    <x v="3"/>
    <x v="1"/>
    <x v="40"/>
  </r>
  <r>
    <s v="CUST1134"/>
    <s v="Hiran Shroff"/>
    <n v="28"/>
    <x v="0"/>
    <x v="0"/>
    <x v="2"/>
    <x v="1133"/>
    <x v="1133"/>
    <x v="455"/>
    <x v="306"/>
    <n v="46250"/>
    <x v="1"/>
    <x v="0"/>
    <x v="37"/>
  </r>
  <r>
    <s v="CUST1135"/>
    <s v="Aarush Kade"/>
    <n v="43"/>
    <x v="1"/>
    <x v="3"/>
    <x v="3"/>
    <x v="1134"/>
    <x v="1134"/>
    <x v="48"/>
    <x v="229"/>
    <n v="97724"/>
    <x v="0"/>
    <x v="0"/>
    <x v="22"/>
  </r>
  <r>
    <s v="CUST1136"/>
    <s v="Zoya Madan"/>
    <n v="34"/>
    <x v="0"/>
    <x v="3"/>
    <x v="1"/>
    <x v="1135"/>
    <x v="1135"/>
    <x v="305"/>
    <x v="271"/>
    <n v="205687"/>
    <x v="3"/>
    <x v="0"/>
    <x v="8"/>
  </r>
  <r>
    <s v="CUST1137"/>
    <s v="Nirvaan Das"/>
    <n v="43"/>
    <x v="0"/>
    <x v="1"/>
    <x v="3"/>
    <x v="1136"/>
    <x v="1136"/>
    <x v="268"/>
    <x v="18"/>
    <n v="226127"/>
    <x v="3"/>
    <x v="1"/>
    <x v="30"/>
  </r>
  <r>
    <s v="CUST1138"/>
    <s v="Tejas Hayre"/>
    <n v="25"/>
    <x v="1"/>
    <x v="5"/>
    <x v="0"/>
    <x v="1137"/>
    <x v="1137"/>
    <x v="513"/>
    <x v="42"/>
    <n v="210311"/>
    <x v="0"/>
    <x v="1"/>
    <x v="3"/>
  </r>
  <r>
    <s v="CUST1139"/>
    <s v="Madhup Singhal"/>
    <n v="51"/>
    <x v="0"/>
    <x v="4"/>
    <x v="2"/>
    <x v="1138"/>
    <x v="1138"/>
    <x v="479"/>
    <x v="49"/>
    <n v="46899"/>
    <x v="0"/>
    <x v="1"/>
    <x v="3"/>
  </r>
  <r>
    <s v="CUST1140"/>
    <s v="Rasha Wagle"/>
    <n v="35"/>
    <x v="0"/>
    <x v="4"/>
    <x v="3"/>
    <x v="1139"/>
    <x v="1139"/>
    <x v="519"/>
    <x v="155"/>
    <n v="30740"/>
    <x v="3"/>
    <x v="0"/>
    <x v="22"/>
  </r>
  <r>
    <s v="CUST1141"/>
    <s v="Nirvi Luthra"/>
    <n v="23"/>
    <x v="1"/>
    <x v="0"/>
    <x v="1"/>
    <x v="1140"/>
    <x v="1140"/>
    <x v="293"/>
    <x v="446"/>
    <n v="211826"/>
    <x v="0"/>
    <x v="0"/>
    <x v="7"/>
  </r>
  <r>
    <s v="CUST1142"/>
    <s v="Tushar Bhalla"/>
    <n v="67"/>
    <x v="1"/>
    <x v="6"/>
    <x v="3"/>
    <x v="1141"/>
    <x v="1141"/>
    <x v="272"/>
    <x v="128"/>
    <n v="93453"/>
    <x v="0"/>
    <x v="0"/>
    <x v="36"/>
  </r>
  <r>
    <s v="CUST1143"/>
    <s v="Sahil Sathe"/>
    <n v="24"/>
    <x v="1"/>
    <x v="2"/>
    <x v="1"/>
    <x v="1142"/>
    <x v="1142"/>
    <x v="520"/>
    <x v="447"/>
    <n v="206933"/>
    <x v="2"/>
    <x v="1"/>
    <x v="12"/>
  </r>
  <r>
    <s v="CUST1144"/>
    <s v="Riya Sane"/>
    <n v="20"/>
    <x v="0"/>
    <x v="5"/>
    <x v="1"/>
    <x v="1143"/>
    <x v="1143"/>
    <x v="376"/>
    <x v="423"/>
    <n v="177722"/>
    <x v="2"/>
    <x v="0"/>
    <x v="23"/>
  </r>
  <r>
    <s v="CUST1145"/>
    <s v="Saanvi Kumar"/>
    <n v="40"/>
    <x v="1"/>
    <x v="0"/>
    <x v="0"/>
    <x v="1144"/>
    <x v="1144"/>
    <x v="144"/>
    <x v="32"/>
    <n v="189630"/>
    <x v="3"/>
    <x v="0"/>
    <x v="24"/>
  </r>
  <r>
    <s v="CUST1146"/>
    <s v="Yuvraj  Acharya"/>
    <n v="19"/>
    <x v="1"/>
    <x v="6"/>
    <x v="3"/>
    <x v="1145"/>
    <x v="1145"/>
    <x v="521"/>
    <x v="235"/>
    <n v="185287"/>
    <x v="1"/>
    <x v="1"/>
    <x v="20"/>
  </r>
  <r>
    <s v="CUST1147"/>
    <s v="Zaina Dayal"/>
    <n v="33"/>
    <x v="1"/>
    <x v="3"/>
    <x v="2"/>
    <x v="1146"/>
    <x v="1146"/>
    <x v="195"/>
    <x v="354"/>
    <n v="92517"/>
    <x v="1"/>
    <x v="1"/>
    <x v="35"/>
  </r>
  <r>
    <s v="CUST1148"/>
    <s v="Ehsaan Chakraborty"/>
    <n v="66"/>
    <x v="1"/>
    <x v="1"/>
    <x v="3"/>
    <x v="1147"/>
    <x v="1147"/>
    <x v="351"/>
    <x v="225"/>
    <n v="111367"/>
    <x v="1"/>
    <x v="0"/>
    <x v="23"/>
  </r>
  <r>
    <s v="CUST1149"/>
    <s v="Raghav Sani"/>
    <n v="64"/>
    <x v="1"/>
    <x v="1"/>
    <x v="3"/>
    <x v="1148"/>
    <x v="1148"/>
    <x v="442"/>
    <x v="128"/>
    <n v="43706"/>
    <x v="2"/>
    <x v="1"/>
    <x v="31"/>
  </r>
  <r>
    <s v="CUST1150"/>
    <s v="Eshani Sibal"/>
    <n v="39"/>
    <x v="0"/>
    <x v="2"/>
    <x v="2"/>
    <x v="1149"/>
    <x v="1149"/>
    <x v="9"/>
    <x v="250"/>
    <n v="231261"/>
    <x v="1"/>
    <x v="1"/>
    <x v="31"/>
  </r>
  <r>
    <s v="CUST1151"/>
    <s v="Lavanya Kibe"/>
    <n v="66"/>
    <x v="1"/>
    <x v="6"/>
    <x v="2"/>
    <x v="1150"/>
    <x v="1150"/>
    <x v="286"/>
    <x v="277"/>
    <n v="166779"/>
    <x v="1"/>
    <x v="1"/>
    <x v="23"/>
  </r>
  <r>
    <s v="CUST1152"/>
    <s v="Rania Iyer"/>
    <n v="43"/>
    <x v="0"/>
    <x v="5"/>
    <x v="2"/>
    <x v="1151"/>
    <x v="1151"/>
    <x v="265"/>
    <x v="99"/>
    <n v="54873"/>
    <x v="2"/>
    <x v="0"/>
    <x v="25"/>
  </r>
  <r>
    <s v="CUST1153"/>
    <s v="Neelofar Mann"/>
    <n v="33"/>
    <x v="0"/>
    <x v="1"/>
    <x v="2"/>
    <x v="1152"/>
    <x v="1152"/>
    <x v="457"/>
    <x v="192"/>
    <n v="163651"/>
    <x v="2"/>
    <x v="0"/>
    <x v="2"/>
  </r>
  <r>
    <s v="CUST1154"/>
    <s v="Kiaan Borde"/>
    <n v="27"/>
    <x v="0"/>
    <x v="0"/>
    <x v="2"/>
    <x v="1153"/>
    <x v="1153"/>
    <x v="522"/>
    <x v="304"/>
    <n v="23255"/>
    <x v="2"/>
    <x v="1"/>
    <x v="3"/>
  </r>
  <r>
    <s v="CUST1155"/>
    <s v="Hazel Mammen"/>
    <n v="65"/>
    <x v="0"/>
    <x v="5"/>
    <x v="3"/>
    <x v="1154"/>
    <x v="1154"/>
    <x v="11"/>
    <x v="431"/>
    <n v="88548"/>
    <x v="0"/>
    <x v="0"/>
    <x v="16"/>
  </r>
  <r>
    <s v="CUST1156"/>
    <s v="Aaryahi Gade"/>
    <n v="38"/>
    <x v="1"/>
    <x v="5"/>
    <x v="0"/>
    <x v="1155"/>
    <x v="1155"/>
    <x v="304"/>
    <x v="318"/>
    <n v="245429"/>
    <x v="3"/>
    <x v="1"/>
    <x v="19"/>
  </r>
  <r>
    <s v="CUST1157"/>
    <s v="Advik Sathe"/>
    <n v="63"/>
    <x v="0"/>
    <x v="4"/>
    <x v="1"/>
    <x v="1156"/>
    <x v="1156"/>
    <x v="404"/>
    <x v="226"/>
    <n v="204062"/>
    <x v="2"/>
    <x v="1"/>
    <x v="17"/>
  </r>
  <r>
    <s v="CUST1158"/>
    <s v="Miraya Kapoor"/>
    <n v="22"/>
    <x v="0"/>
    <x v="2"/>
    <x v="3"/>
    <x v="1157"/>
    <x v="1157"/>
    <x v="283"/>
    <x v="322"/>
    <n v="64916"/>
    <x v="0"/>
    <x v="1"/>
    <x v="18"/>
  </r>
  <r>
    <s v="CUST1159"/>
    <s v="Drishya Banerjee"/>
    <n v="54"/>
    <x v="0"/>
    <x v="0"/>
    <x v="2"/>
    <x v="1158"/>
    <x v="1158"/>
    <x v="364"/>
    <x v="431"/>
    <n v="86063"/>
    <x v="2"/>
    <x v="1"/>
    <x v="32"/>
  </r>
  <r>
    <s v="CUST1160"/>
    <s v="Seher Sengupta"/>
    <n v="52"/>
    <x v="1"/>
    <x v="3"/>
    <x v="3"/>
    <x v="1159"/>
    <x v="1159"/>
    <x v="241"/>
    <x v="448"/>
    <n v="202768"/>
    <x v="0"/>
    <x v="0"/>
    <x v="7"/>
  </r>
  <r>
    <s v="CUST1161"/>
    <s v="Anvi Chada"/>
    <n v="63"/>
    <x v="1"/>
    <x v="3"/>
    <x v="2"/>
    <x v="1160"/>
    <x v="1160"/>
    <x v="16"/>
    <x v="99"/>
    <n v="217778"/>
    <x v="3"/>
    <x v="0"/>
    <x v="10"/>
  </r>
  <r>
    <s v="CUST1162"/>
    <s v="Khushi Karan"/>
    <n v="29"/>
    <x v="1"/>
    <x v="0"/>
    <x v="1"/>
    <x v="1161"/>
    <x v="1161"/>
    <x v="512"/>
    <x v="292"/>
    <n v="27729"/>
    <x v="2"/>
    <x v="1"/>
    <x v="23"/>
  </r>
  <r>
    <s v="CUST1163"/>
    <s v="Oorja Sura"/>
    <n v="26"/>
    <x v="1"/>
    <x v="4"/>
    <x v="0"/>
    <x v="1162"/>
    <x v="1162"/>
    <x v="5"/>
    <x v="270"/>
    <n v="242105"/>
    <x v="3"/>
    <x v="1"/>
    <x v="32"/>
  </r>
  <r>
    <s v="CUST1164"/>
    <s v="Jayant Ranganathan"/>
    <n v="43"/>
    <x v="0"/>
    <x v="6"/>
    <x v="0"/>
    <x v="1163"/>
    <x v="1163"/>
    <x v="228"/>
    <x v="210"/>
    <n v="72587"/>
    <x v="0"/>
    <x v="0"/>
    <x v="3"/>
  </r>
  <r>
    <s v="CUST1165"/>
    <s v="Bhavin Ramakrishnan"/>
    <n v="61"/>
    <x v="1"/>
    <x v="6"/>
    <x v="0"/>
    <x v="1164"/>
    <x v="1164"/>
    <x v="25"/>
    <x v="168"/>
    <n v="117818"/>
    <x v="1"/>
    <x v="0"/>
    <x v="9"/>
  </r>
  <r>
    <s v="CUST1166"/>
    <s v="Jayant Yadav"/>
    <n v="29"/>
    <x v="0"/>
    <x v="3"/>
    <x v="3"/>
    <x v="1165"/>
    <x v="1165"/>
    <x v="523"/>
    <x v="246"/>
    <n v="69409"/>
    <x v="3"/>
    <x v="1"/>
    <x v="38"/>
  </r>
  <r>
    <s v="CUST1167"/>
    <s v="Purab Arora"/>
    <n v="63"/>
    <x v="0"/>
    <x v="7"/>
    <x v="0"/>
    <x v="1166"/>
    <x v="1166"/>
    <x v="28"/>
    <x v="66"/>
    <n v="241766"/>
    <x v="1"/>
    <x v="1"/>
    <x v="30"/>
  </r>
  <r>
    <s v="CUST1168"/>
    <s v="Nehmat Ben"/>
    <n v="24"/>
    <x v="0"/>
    <x v="3"/>
    <x v="3"/>
    <x v="1167"/>
    <x v="1167"/>
    <x v="524"/>
    <x v="29"/>
    <n v="111502"/>
    <x v="2"/>
    <x v="1"/>
    <x v="23"/>
  </r>
  <r>
    <s v="CUST1169"/>
    <s v="Devansh Chokshi"/>
    <n v="68"/>
    <x v="0"/>
    <x v="1"/>
    <x v="1"/>
    <x v="1168"/>
    <x v="1168"/>
    <x v="266"/>
    <x v="210"/>
    <n v="137423"/>
    <x v="3"/>
    <x v="1"/>
    <x v="13"/>
  </r>
  <r>
    <s v="CUST1170"/>
    <s v="Navya Banerjee"/>
    <n v="20"/>
    <x v="0"/>
    <x v="2"/>
    <x v="3"/>
    <x v="1169"/>
    <x v="1169"/>
    <x v="383"/>
    <x v="57"/>
    <n v="113931"/>
    <x v="2"/>
    <x v="0"/>
    <x v="40"/>
  </r>
  <r>
    <s v="CUST1171"/>
    <s v="Ishita Balay"/>
    <n v="36"/>
    <x v="1"/>
    <x v="0"/>
    <x v="1"/>
    <x v="1170"/>
    <x v="1170"/>
    <x v="525"/>
    <x v="367"/>
    <n v="103969"/>
    <x v="0"/>
    <x v="1"/>
    <x v="26"/>
  </r>
  <r>
    <s v="CUST1172"/>
    <s v="Heer Gupta"/>
    <n v="19"/>
    <x v="1"/>
    <x v="7"/>
    <x v="0"/>
    <x v="1171"/>
    <x v="1171"/>
    <x v="173"/>
    <x v="369"/>
    <n v="148775"/>
    <x v="3"/>
    <x v="0"/>
    <x v="36"/>
  </r>
  <r>
    <s v="CUST1173"/>
    <s v="Adira Dube"/>
    <n v="37"/>
    <x v="0"/>
    <x v="7"/>
    <x v="0"/>
    <x v="1172"/>
    <x v="1172"/>
    <x v="143"/>
    <x v="87"/>
    <n v="174001"/>
    <x v="1"/>
    <x v="1"/>
    <x v="27"/>
  </r>
  <r>
    <s v="CUST1174"/>
    <s v="Indranil Rama"/>
    <n v="30"/>
    <x v="0"/>
    <x v="5"/>
    <x v="0"/>
    <x v="1173"/>
    <x v="1173"/>
    <x v="203"/>
    <x v="244"/>
    <n v="112213"/>
    <x v="3"/>
    <x v="0"/>
    <x v="36"/>
  </r>
  <r>
    <s v="CUST1175"/>
    <s v="Riaan Aggarwal"/>
    <n v="47"/>
    <x v="0"/>
    <x v="7"/>
    <x v="0"/>
    <x v="1174"/>
    <x v="1174"/>
    <x v="221"/>
    <x v="355"/>
    <n v="68681"/>
    <x v="2"/>
    <x v="0"/>
    <x v="11"/>
  </r>
  <r>
    <s v="CUST1176"/>
    <s v="Anahi Sarraf"/>
    <n v="62"/>
    <x v="1"/>
    <x v="3"/>
    <x v="1"/>
    <x v="1175"/>
    <x v="1175"/>
    <x v="79"/>
    <x v="17"/>
    <n v="50495"/>
    <x v="3"/>
    <x v="1"/>
    <x v="30"/>
  </r>
  <r>
    <s v="CUST1177"/>
    <s v="Ranbir Sheth"/>
    <n v="43"/>
    <x v="1"/>
    <x v="1"/>
    <x v="3"/>
    <x v="1176"/>
    <x v="1176"/>
    <x v="54"/>
    <x v="30"/>
    <n v="31732"/>
    <x v="2"/>
    <x v="0"/>
    <x v="37"/>
  </r>
  <r>
    <s v="CUST1178"/>
    <s v="Tejas Dar"/>
    <n v="44"/>
    <x v="1"/>
    <x v="7"/>
    <x v="1"/>
    <x v="1177"/>
    <x v="1177"/>
    <x v="135"/>
    <x v="110"/>
    <n v="235889"/>
    <x v="0"/>
    <x v="1"/>
    <x v="28"/>
  </r>
  <r>
    <s v="CUST1179"/>
    <s v="Arnav Koshy"/>
    <n v="26"/>
    <x v="1"/>
    <x v="2"/>
    <x v="2"/>
    <x v="1178"/>
    <x v="1178"/>
    <x v="10"/>
    <x v="84"/>
    <n v="193791"/>
    <x v="1"/>
    <x v="0"/>
    <x v="29"/>
  </r>
  <r>
    <s v="CUST1180"/>
    <s v="Yuvraj  Ganesan"/>
    <n v="65"/>
    <x v="1"/>
    <x v="6"/>
    <x v="0"/>
    <x v="1179"/>
    <x v="1179"/>
    <x v="171"/>
    <x v="259"/>
    <n v="87239"/>
    <x v="0"/>
    <x v="1"/>
    <x v="24"/>
  </r>
  <r>
    <s v="CUST1181"/>
    <s v="Shalv Comar"/>
    <n v="70"/>
    <x v="0"/>
    <x v="4"/>
    <x v="1"/>
    <x v="1180"/>
    <x v="1180"/>
    <x v="442"/>
    <x v="172"/>
    <n v="72986"/>
    <x v="0"/>
    <x v="0"/>
    <x v="19"/>
  </r>
  <r>
    <s v="CUST1182"/>
    <s v="Sana Bail"/>
    <n v="32"/>
    <x v="1"/>
    <x v="4"/>
    <x v="2"/>
    <x v="1181"/>
    <x v="1181"/>
    <x v="224"/>
    <x v="446"/>
    <n v="29969"/>
    <x v="2"/>
    <x v="0"/>
    <x v="14"/>
  </r>
  <r>
    <s v="CUST1183"/>
    <s v="Misha Tank"/>
    <n v="60"/>
    <x v="0"/>
    <x v="3"/>
    <x v="3"/>
    <x v="1182"/>
    <x v="1182"/>
    <x v="26"/>
    <x v="404"/>
    <n v="152020"/>
    <x v="1"/>
    <x v="0"/>
    <x v="27"/>
  </r>
  <r>
    <s v="CUST1184"/>
    <s v="Nirvi Sane"/>
    <n v="40"/>
    <x v="1"/>
    <x v="2"/>
    <x v="2"/>
    <x v="1183"/>
    <x v="1183"/>
    <x v="526"/>
    <x v="58"/>
    <n v="141119"/>
    <x v="3"/>
    <x v="0"/>
    <x v="29"/>
  </r>
  <r>
    <s v="CUST1185"/>
    <s v="Mamooty Hans"/>
    <n v="39"/>
    <x v="1"/>
    <x v="3"/>
    <x v="2"/>
    <x v="1184"/>
    <x v="1184"/>
    <x v="114"/>
    <x v="389"/>
    <n v="192493"/>
    <x v="1"/>
    <x v="0"/>
    <x v="40"/>
  </r>
  <r>
    <s v="CUST1186"/>
    <s v="Nayantara Sha"/>
    <n v="25"/>
    <x v="1"/>
    <x v="5"/>
    <x v="0"/>
    <x v="1185"/>
    <x v="1185"/>
    <x v="168"/>
    <x v="358"/>
    <n v="199506"/>
    <x v="3"/>
    <x v="0"/>
    <x v="0"/>
  </r>
  <r>
    <s v="CUST1187"/>
    <s v="Drishya Varkey"/>
    <n v="61"/>
    <x v="0"/>
    <x v="1"/>
    <x v="0"/>
    <x v="1186"/>
    <x v="1186"/>
    <x v="242"/>
    <x v="66"/>
    <n v="81253"/>
    <x v="0"/>
    <x v="0"/>
    <x v="21"/>
  </r>
  <r>
    <s v="CUST1188"/>
    <s v="Anika Sura"/>
    <n v="59"/>
    <x v="1"/>
    <x v="4"/>
    <x v="2"/>
    <x v="1187"/>
    <x v="1187"/>
    <x v="527"/>
    <x v="449"/>
    <n v="236006"/>
    <x v="2"/>
    <x v="1"/>
    <x v="5"/>
  </r>
  <r>
    <s v="CUST1189"/>
    <s v="Kavya Babu"/>
    <n v="40"/>
    <x v="1"/>
    <x v="1"/>
    <x v="2"/>
    <x v="1188"/>
    <x v="1188"/>
    <x v="53"/>
    <x v="131"/>
    <n v="186906"/>
    <x v="1"/>
    <x v="0"/>
    <x v="24"/>
  </r>
  <r>
    <s v="CUST1190"/>
    <s v="Chirag Krishnan"/>
    <n v="42"/>
    <x v="0"/>
    <x v="7"/>
    <x v="1"/>
    <x v="1189"/>
    <x v="1189"/>
    <x v="66"/>
    <x v="374"/>
    <n v="87426"/>
    <x v="2"/>
    <x v="0"/>
    <x v="39"/>
  </r>
  <r>
    <s v="CUST1191"/>
    <s v="Kanav Bose"/>
    <n v="43"/>
    <x v="1"/>
    <x v="4"/>
    <x v="1"/>
    <x v="1190"/>
    <x v="1190"/>
    <x v="276"/>
    <x v="317"/>
    <n v="52774"/>
    <x v="2"/>
    <x v="1"/>
    <x v="7"/>
  </r>
  <r>
    <s v="CUST1192"/>
    <s v="Nirvi Gandhi"/>
    <n v="41"/>
    <x v="0"/>
    <x v="1"/>
    <x v="3"/>
    <x v="1191"/>
    <x v="1191"/>
    <x v="160"/>
    <x v="42"/>
    <n v="108552"/>
    <x v="2"/>
    <x v="1"/>
    <x v="13"/>
  </r>
  <r>
    <s v="CUST1193"/>
    <s v="Anay Gara"/>
    <n v="41"/>
    <x v="1"/>
    <x v="6"/>
    <x v="1"/>
    <x v="1192"/>
    <x v="1192"/>
    <x v="356"/>
    <x v="257"/>
    <n v="188820"/>
    <x v="0"/>
    <x v="0"/>
    <x v="33"/>
  </r>
  <r>
    <s v="CUST1194"/>
    <s v="Tanya Rajan"/>
    <n v="31"/>
    <x v="0"/>
    <x v="4"/>
    <x v="0"/>
    <x v="1193"/>
    <x v="1193"/>
    <x v="81"/>
    <x v="444"/>
    <n v="108521"/>
    <x v="3"/>
    <x v="1"/>
    <x v="24"/>
  </r>
  <r>
    <s v="CUST1195"/>
    <s v="Baiju Ranganathan"/>
    <n v="54"/>
    <x v="1"/>
    <x v="1"/>
    <x v="2"/>
    <x v="1194"/>
    <x v="1194"/>
    <x v="492"/>
    <x v="310"/>
    <n v="194848"/>
    <x v="2"/>
    <x v="1"/>
    <x v="29"/>
  </r>
  <r>
    <s v="CUST1196"/>
    <s v="Madhup Tiwari"/>
    <n v="47"/>
    <x v="0"/>
    <x v="2"/>
    <x v="0"/>
    <x v="1195"/>
    <x v="1195"/>
    <x v="21"/>
    <x v="54"/>
    <n v="84408"/>
    <x v="0"/>
    <x v="0"/>
    <x v="12"/>
  </r>
  <r>
    <s v="CUST1197"/>
    <s v="Kashvi Yogi"/>
    <n v="18"/>
    <x v="1"/>
    <x v="1"/>
    <x v="2"/>
    <x v="1196"/>
    <x v="1196"/>
    <x v="107"/>
    <x v="91"/>
    <n v="246033"/>
    <x v="3"/>
    <x v="1"/>
    <x v="37"/>
  </r>
  <r>
    <s v="CUST1198"/>
    <s v="Mamooty Shroff"/>
    <n v="22"/>
    <x v="0"/>
    <x v="6"/>
    <x v="3"/>
    <x v="1197"/>
    <x v="1197"/>
    <x v="291"/>
    <x v="214"/>
    <n v="115142"/>
    <x v="0"/>
    <x v="0"/>
    <x v="18"/>
  </r>
  <r>
    <s v="CUST1199"/>
    <s v="Rasha Brar"/>
    <n v="27"/>
    <x v="1"/>
    <x v="6"/>
    <x v="2"/>
    <x v="1198"/>
    <x v="1198"/>
    <x v="128"/>
    <x v="443"/>
    <n v="62796"/>
    <x v="0"/>
    <x v="0"/>
    <x v="33"/>
  </r>
  <r>
    <s v="CUST1200"/>
    <s v="Samar Shetty"/>
    <n v="46"/>
    <x v="0"/>
    <x v="7"/>
    <x v="3"/>
    <x v="1199"/>
    <x v="1199"/>
    <x v="74"/>
    <x v="53"/>
    <n v="45446"/>
    <x v="2"/>
    <x v="0"/>
    <x v="16"/>
  </r>
  <r>
    <s v="CUST1201"/>
    <s v="Zeeshan Savant"/>
    <n v="46"/>
    <x v="0"/>
    <x v="5"/>
    <x v="0"/>
    <x v="1200"/>
    <x v="1200"/>
    <x v="13"/>
    <x v="272"/>
    <n v="25205"/>
    <x v="3"/>
    <x v="0"/>
    <x v="7"/>
  </r>
  <r>
    <s v="CUST1202"/>
    <s v="Akarsh Kota"/>
    <n v="57"/>
    <x v="0"/>
    <x v="5"/>
    <x v="3"/>
    <x v="1201"/>
    <x v="1201"/>
    <x v="447"/>
    <x v="109"/>
    <n v="98670"/>
    <x v="0"/>
    <x v="1"/>
    <x v="39"/>
  </r>
  <r>
    <s v="CUST1203"/>
    <s v="Biju Jani"/>
    <n v="56"/>
    <x v="1"/>
    <x v="1"/>
    <x v="3"/>
    <x v="1202"/>
    <x v="1202"/>
    <x v="164"/>
    <x v="290"/>
    <n v="229536"/>
    <x v="0"/>
    <x v="1"/>
    <x v="16"/>
  </r>
  <r>
    <s v="CUST1204"/>
    <s v="Onkar Grewal"/>
    <n v="38"/>
    <x v="1"/>
    <x v="5"/>
    <x v="0"/>
    <x v="1203"/>
    <x v="1203"/>
    <x v="269"/>
    <x v="413"/>
    <n v="63747"/>
    <x v="1"/>
    <x v="1"/>
    <x v="3"/>
  </r>
  <r>
    <s v="CUST1205"/>
    <s v="Fateh Vohra"/>
    <n v="60"/>
    <x v="1"/>
    <x v="0"/>
    <x v="2"/>
    <x v="1204"/>
    <x v="1204"/>
    <x v="370"/>
    <x v="171"/>
    <n v="41035"/>
    <x v="2"/>
    <x v="1"/>
    <x v="25"/>
  </r>
  <r>
    <s v="CUST1206"/>
    <s v="Abram Venkatesh"/>
    <n v="42"/>
    <x v="1"/>
    <x v="0"/>
    <x v="3"/>
    <x v="1205"/>
    <x v="1205"/>
    <x v="363"/>
    <x v="450"/>
    <n v="29432"/>
    <x v="3"/>
    <x v="1"/>
    <x v="16"/>
  </r>
  <r>
    <s v="CUST1207"/>
    <s v="Ivan Buch"/>
    <n v="64"/>
    <x v="0"/>
    <x v="5"/>
    <x v="0"/>
    <x v="1206"/>
    <x v="1206"/>
    <x v="319"/>
    <x v="163"/>
    <n v="88573"/>
    <x v="0"/>
    <x v="0"/>
    <x v="37"/>
  </r>
  <r>
    <s v="CUST1208"/>
    <s v="Lagan Tailor"/>
    <n v="69"/>
    <x v="0"/>
    <x v="2"/>
    <x v="0"/>
    <x v="1207"/>
    <x v="1207"/>
    <x v="151"/>
    <x v="451"/>
    <n v="219770"/>
    <x v="0"/>
    <x v="0"/>
    <x v="29"/>
  </r>
  <r>
    <s v="CUST1209"/>
    <s v="Chirag Sur"/>
    <n v="65"/>
    <x v="1"/>
    <x v="5"/>
    <x v="0"/>
    <x v="1208"/>
    <x v="1208"/>
    <x v="16"/>
    <x v="2"/>
    <n v="231546"/>
    <x v="0"/>
    <x v="0"/>
    <x v="25"/>
  </r>
  <r>
    <s v="CUST1210"/>
    <s v="Zara Char"/>
    <n v="63"/>
    <x v="0"/>
    <x v="7"/>
    <x v="1"/>
    <x v="1209"/>
    <x v="1209"/>
    <x v="228"/>
    <x v="120"/>
    <n v="56363"/>
    <x v="3"/>
    <x v="0"/>
    <x v="23"/>
  </r>
  <r>
    <s v="CUST1211"/>
    <s v="Krish Chandran"/>
    <n v="21"/>
    <x v="0"/>
    <x v="4"/>
    <x v="2"/>
    <x v="1210"/>
    <x v="1210"/>
    <x v="160"/>
    <x v="276"/>
    <n v="207951"/>
    <x v="2"/>
    <x v="1"/>
    <x v="22"/>
  </r>
  <r>
    <s v="CUST1212"/>
    <s v="Lavanya Sant"/>
    <n v="64"/>
    <x v="0"/>
    <x v="3"/>
    <x v="2"/>
    <x v="1211"/>
    <x v="1211"/>
    <x v="399"/>
    <x v="452"/>
    <n v="197251"/>
    <x v="1"/>
    <x v="0"/>
    <x v="36"/>
  </r>
  <r>
    <s v="CUST1213"/>
    <s v="Samiha Dave"/>
    <n v="52"/>
    <x v="1"/>
    <x v="1"/>
    <x v="2"/>
    <x v="1212"/>
    <x v="1212"/>
    <x v="286"/>
    <x v="333"/>
    <n v="170846"/>
    <x v="2"/>
    <x v="1"/>
    <x v="31"/>
  </r>
  <r>
    <s v="CUST1214"/>
    <s v="Nirvi Sehgal"/>
    <n v="56"/>
    <x v="0"/>
    <x v="7"/>
    <x v="3"/>
    <x v="1213"/>
    <x v="1213"/>
    <x v="490"/>
    <x v="300"/>
    <n v="128077"/>
    <x v="1"/>
    <x v="0"/>
    <x v="30"/>
  </r>
  <r>
    <s v="CUST1215"/>
    <s v="Raghav Badal"/>
    <n v="22"/>
    <x v="1"/>
    <x v="2"/>
    <x v="1"/>
    <x v="1214"/>
    <x v="1214"/>
    <x v="154"/>
    <x v="303"/>
    <n v="36153"/>
    <x v="0"/>
    <x v="0"/>
    <x v="8"/>
  </r>
  <r>
    <s v="CUST1216"/>
    <s v="Rhea Bakshi"/>
    <n v="38"/>
    <x v="1"/>
    <x v="4"/>
    <x v="3"/>
    <x v="1215"/>
    <x v="1215"/>
    <x v="266"/>
    <x v="453"/>
    <n v="174177"/>
    <x v="2"/>
    <x v="1"/>
    <x v="13"/>
  </r>
  <r>
    <s v="CUST1217"/>
    <s v="Lakshit Mander"/>
    <n v="49"/>
    <x v="0"/>
    <x v="5"/>
    <x v="1"/>
    <x v="1216"/>
    <x v="1216"/>
    <x v="135"/>
    <x v="440"/>
    <n v="98707"/>
    <x v="2"/>
    <x v="1"/>
    <x v="25"/>
  </r>
  <r>
    <s v="CUST1218"/>
    <s v="Ojas Dugar"/>
    <n v="38"/>
    <x v="1"/>
    <x v="3"/>
    <x v="2"/>
    <x v="1217"/>
    <x v="1217"/>
    <x v="445"/>
    <x v="268"/>
    <n v="228732"/>
    <x v="2"/>
    <x v="1"/>
    <x v="6"/>
  </r>
  <r>
    <s v="CUST1219"/>
    <s v="Jivin Chakrabarti"/>
    <n v="19"/>
    <x v="1"/>
    <x v="3"/>
    <x v="2"/>
    <x v="1218"/>
    <x v="1218"/>
    <x v="28"/>
    <x v="454"/>
    <n v="248946"/>
    <x v="3"/>
    <x v="0"/>
    <x v="16"/>
  </r>
  <r>
    <s v="CUST1220"/>
    <s v="Anahi Baria"/>
    <n v="24"/>
    <x v="1"/>
    <x v="3"/>
    <x v="3"/>
    <x v="1219"/>
    <x v="1219"/>
    <x v="423"/>
    <x v="277"/>
    <n v="24296"/>
    <x v="1"/>
    <x v="0"/>
    <x v="20"/>
  </r>
  <r>
    <s v="CUST1221"/>
    <s v="Farhan Dash"/>
    <n v="30"/>
    <x v="1"/>
    <x v="7"/>
    <x v="3"/>
    <x v="1220"/>
    <x v="1220"/>
    <x v="338"/>
    <x v="208"/>
    <n v="147542"/>
    <x v="0"/>
    <x v="0"/>
    <x v="40"/>
  </r>
  <r>
    <s v="CUST1222"/>
    <s v="Badal Shankar"/>
    <n v="38"/>
    <x v="0"/>
    <x v="0"/>
    <x v="1"/>
    <x v="1221"/>
    <x v="1221"/>
    <x v="38"/>
    <x v="376"/>
    <n v="205079"/>
    <x v="0"/>
    <x v="1"/>
    <x v="34"/>
  </r>
  <r>
    <s v="CUST1223"/>
    <s v="Mishti Kapadia"/>
    <n v="58"/>
    <x v="0"/>
    <x v="6"/>
    <x v="3"/>
    <x v="1222"/>
    <x v="1222"/>
    <x v="205"/>
    <x v="301"/>
    <n v="61576"/>
    <x v="1"/>
    <x v="0"/>
    <x v="19"/>
  </r>
  <r>
    <s v="CUST1224"/>
    <s v="Ayesha Grover"/>
    <n v="41"/>
    <x v="0"/>
    <x v="5"/>
    <x v="2"/>
    <x v="1223"/>
    <x v="1223"/>
    <x v="291"/>
    <x v="213"/>
    <n v="168197"/>
    <x v="1"/>
    <x v="1"/>
    <x v="14"/>
  </r>
  <r>
    <s v="CUST1225"/>
    <s v="Aayush Banerjee"/>
    <n v="68"/>
    <x v="0"/>
    <x v="5"/>
    <x v="2"/>
    <x v="1224"/>
    <x v="1224"/>
    <x v="223"/>
    <x v="354"/>
    <n v="93539"/>
    <x v="3"/>
    <x v="0"/>
    <x v="11"/>
  </r>
  <r>
    <s v="CUST1226"/>
    <s v="Anvi Sheth"/>
    <n v="49"/>
    <x v="0"/>
    <x v="5"/>
    <x v="0"/>
    <x v="1225"/>
    <x v="1225"/>
    <x v="188"/>
    <x v="222"/>
    <n v="167665"/>
    <x v="2"/>
    <x v="1"/>
    <x v="23"/>
  </r>
  <r>
    <s v="CUST1227"/>
    <s v="Baiju Varty"/>
    <n v="56"/>
    <x v="0"/>
    <x v="5"/>
    <x v="0"/>
    <x v="1226"/>
    <x v="1226"/>
    <x v="57"/>
    <x v="9"/>
    <n v="210795"/>
    <x v="2"/>
    <x v="0"/>
    <x v="28"/>
  </r>
  <r>
    <s v="CUST1228"/>
    <s v="Inaaya  Rana"/>
    <n v="32"/>
    <x v="1"/>
    <x v="5"/>
    <x v="1"/>
    <x v="1227"/>
    <x v="1227"/>
    <x v="522"/>
    <x v="386"/>
    <n v="185955"/>
    <x v="1"/>
    <x v="0"/>
    <x v="29"/>
  </r>
  <r>
    <s v="CUST1229"/>
    <s v="Pari Sampath"/>
    <n v="70"/>
    <x v="0"/>
    <x v="6"/>
    <x v="2"/>
    <x v="1228"/>
    <x v="1228"/>
    <x v="528"/>
    <x v="159"/>
    <n v="232527"/>
    <x v="2"/>
    <x v="1"/>
    <x v="0"/>
  </r>
  <r>
    <s v="CUST1230"/>
    <s v="Tara Doshi"/>
    <n v="62"/>
    <x v="0"/>
    <x v="0"/>
    <x v="0"/>
    <x v="1229"/>
    <x v="1229"/>
    <x v="425"/>
    <x v="325"/>
    <n v="234587"/>
    <x v="1"/>
    <x v="1"/>
    <x v="4"/>
  </r>
  <r>
    <s v="CUST1231"/>
    <s v="Zaina Saxena"/>
    <n v="67"/>
    <x v="1"/>
    <x v="2"/>
    <x v="3"/>
    <x v="1230"/>
    <x v="1230"/>
    <x v="415"/>
    <x v="22"/>
    <n v="58696"/>
    <x v="2"/>
    <x v="1"/>
    <x v="3"/>
  </r>
  <r>
    <s v="CUST1232"/>
    <s v="Amani Ratti"/>
    <n v="30"/>
    <x v="0"/>
    <x v="2"/>
    <x v="0"/>
    <x v="1231"/>
    <x v="1231"/>
    <x v="494"/>
    <x v="228"/>
    <n v="205151"/>
    <x v="1"/>
    <x v="1"/>
    <x v="27"/>
  </r>
  <r>
    <s v="CUST1233"/>
    <s v="Piya Loke"/>
    <n v="41"/>
    <x v="1"/>
    <x v="0"/>
    <x v="2"/>
    <x v="1232"/>
    <x v="1232"/>
    <x v="19"/>
    <x v="205"/>
    <n v="57159"/>
    <x v="1"/>
    <x v="0"/>
    <x v="26"/>
  </r>
  <r>
    <s v="CUST1234"/>
    <s v="Fateh Ratti"/>
    <n v="59"/>
    <x v="0"/>
    <x v="4"/>
    <x v="0"/>
    <x v="1233"/>
    <x v="1233"/>
    <x v="29"/>
    <x v="434"/>
    <n v="94162"/>
    <x v="0"/>
    <x v="0"/>
    <x v="36"/>
  </r>
  <r>
    <s v="CUST1235"/>
    <s v="Yuvraj  Gala"/>
    <n v="27"/>
    <x v="1"/>
    <x v="5"/>
    <x v="0"/>
    <x v="1234"/>
    <x v="1234"/>
    <x v="38"/>
    <x v="104"/>
    <n v="46805"/>
    <x v="2"/>
    <x v="1"/>
    <x v="8"/>
  </r>
  <r>
    <s v="CUST1236"/>
    <s v="Reyansh Dewan"/>
    <n v="66"/>
    <x v="1"/>
    <x v="3"/>
    <x v="0"/>
    <x v="1235"/>
    <x v="1235"/>
    <x v="529"/>
    <x v="455"/>
    <n v="38239"/>
    <x v="3"/>
    <x v="1"/>
    <x v="1"/>
  </r>
  <r>
    <s v="CUST1237"/>
    <s v="Manjari Dyal"/>
    <n v="28"/>
    <x v="0"/>
    <x v="7"/>
    <x v="2"/>
    <x v="1236"/>
    <x v="1236"/>
    <x v="77"/>
    <x v="348"/>
    <n v="50211"/>
    <x v="2"/>
    <x v="0"/>
    <x v="15"/>
  </r>
  <r>
    <s v="CUST1238"/>
    <s v="Kanav Shah"/>
    <n v="20"/>
    <x v="1"/>
    <x v="0"/>
    <x v="0"/>
    <x v="1237"/>
    <x v="1237"/>
    <x v="83"/>
    <x v="11"/>
    <n v="77409"/>
    <x v="1"/>
    <x v="1"/>
    <x v="27"/>
  </r>
  <r>
    <s v="CUST1239"/>
    <s v="Akarsh Kalita"/>
    <n v="19"/>
    <x v="0"/>
    <x v="1"/>
    <x v="2"/>
    <x v="1238"/>
    <x v="1238"/>
    <x v="224"/>
    <x v="456"/>
    <n v="195542"/>
    <x v="2"/>
    <x v="0"/>
    <x v="11"/>
  </r>
  <r>
    <s v="CUST1240"/>
    <s v="Samarth Solanki"/>
    <n v="40"/>
    <x v="1"/>
    <x v="1"/>
    <x v="2"/>
    <x v="1239"/>
    <x v="1239"/>
    <x v="413"/>
    <x v="29"/>
    <n v="203979"/>
    <x v="0"/>
    <x v="1"/>
    <x v="30"/>
  </r>
  <r>
    <s v="CUST1241"/>
    <s v="Vaibhav Sodhi"/>
    <n v="35"/>
    <x v="1"/>
    <x v="1"/>
    <x v="3"/>
    <x v="1240"/>
    <x v="1240"/>
    <x v="122"/>
    <x v="137"/>
    <n v="165820"/>
    <x v="1"/>
    <x v="1"/>
    <x v="12"/>
  </r>
  <r>
    <s v="CUST1242"/>
    <s v="Urvi Trivedi"/>
    <n v="25"/>
    <x v="0"/>
    <x v="2"/>
    <x v="0"/>
    <x v="1241"/>
    <x v="1241"/>
    <x v="258"/>
    <x v="27"/>
    <n v="190514"/>
    <x v="2"/>
    <x v="0"/>
    <x v="21"/>
  </r>
  <r>
    <s v="CUST1243"/>
    <s v="Trisha Thaman"/>
    <n v="65"/>
    <x v="0"/>
    <x v="6"/>
    <x v="3"/>
    <x v="1242"/>
    <x v="1242"/>
    <x v="481"/>
    <x v="85"/>
    <n v="249175"/>
    <x v="2"/>
    <x v="0"/>
    <x v="32"/>
  </r>
  <r>
    <s v="CUST1244"/>
    <s v="Lakshay Thakkar"/>
    <n v="59"/>
    <x v="1"/>
    <x v="7"/>
    <x v="2"/>
    <x v="1243"/>
    <x v="1243"/>
    <x v="530"/>
    <x v="246"/>
    <n v="184132"/>
    <x v="3"/>
    <x v="1"/>
    <x v="36"/>
  </r>
  <r>
    <s v="CUST1245"/>
    <s v="Ahana  Thaman"/>
    <n v="31"/>
    <x v="0"/>
    <x v="4"/>
    <x v="1"/>
    <x v="1244"/>
    <x v="1244"/>
    <x v="86"/>
    <x v="457"/>
    <n v="150965"/>
    <x v="1"/>
    <x v="0"/>
    <x v="38"/>
  </r>
  <r>
    <s v="CUST1246"/>
    <s v="Kanav Chatterjee"/>
    <n v="22"/>
    <x v="0"/>
    <x v="6"/>
    <x v="0"/>
    <x v="1245"/>
    <x v="1245"/>
    <x v="49"/>
    <x v="303"/>
    <n v="181577"/>
    <x v="1"/>
    <x v="1"/>
    <x v="15"/>
  </r>
  <r>
    <s v="CUST1247"/>
    <s v="Prerak Sahota"/>
    <n v="42"/>
    <x v="0"/>
    <x v="0"/>
    <x v="3"/>
    <x v="1246"/>
    <x v="1246"/>
    <x v="531"/>
    <x v="82"/>
    <n v="211036"/>
    <x v="0"/>
    <x v="1"/>
    <x v="2"/>
  </r>
  <r>
    <s v="CUST1248"/>
    <s v="Taimur Krishnan"/>
    <n v="44"/>
    <x v="1"/>
    <x v="1"/>
    <x v="0"/>
    <x v="1247"/>
    <x v="1247"/>
    <x v="512"/>
    <x v="90"/>
    <n v="191344"/>
    <x v="0"/>
    <x v="1"/>
    <x v="29"/>
  </r>
  <r>
    <s v="CUST1249"/>
    <s v="Aaryahi Dugal"/>
    <n v="29"/>
    <x v="1"/>
    <x v="6"/>
    <x v="0"/>
    <x v="1248"/>
    <x v="1248"/>
    <x v="532"/>
    <x v="72"/>
    <n v="23760"/>
    <x v="2"/>
    <x v="0"/>
    <x v="7"/>
  </r>
  <r>
    <s v="CUST1250"/>
    <s v="Shaan D’Alia"/>
    <n v="64"/>
    <x v="1"/>
    <x v="4"/>
    <x v="1"/>
    <x v="1249"/>
    <x v="1249"/>
    <x v="454"/>
    <x v="184"/>
    <n v="201351"/>
    <x v="3"/>
    <x v="0"/>
    <x v="20"/>
  </r>
  <r>
    <s v="CUST1251"/>
    <s v="Seher Deshmukh"/>
    <n v="54"/>
    <x v="1"/>
    <x v="1"/>
    <x v="3"/>
    <x v="1250"/>
    <x v="1250"/>
    <x v="403"/>
    <x v="412"/>
    <n v="31543"/>
    <x v="0"/>
    <x v="1"/>
    <x v="17"/>
  </r>
  <r>
    <s v="CUST1252"/>
    <s v="Samiha Konda"/>
    <n v="30"/>
    <x v="1"/>
    <x v="4"/>
    <x v="2"/>
    <x v="1251"/>
    <x v="1251"/>
    <x v="182"/>
    <x v="442"/>
    <n v="81556"/>
    <x v="0"/>
    <x v="1"/>
    <x v="25"/>
  </r>
  <r>
    <s v="CUST1253"/>
    <s v="Biju Lala"/>
    <n v="41"/>
    <x v="1"/>
    <x v="3"/>
    <x v="3"/>
    <x v="1252"/>
    <x v="1252"/>
    <x v="240"/>
    <x v="458"/>
    <n v="43177"/>
    <x v="1"/>
    <x v="1"/>
    <x v="31"/>
  </r>
  <r>
    <s v="CUST1254"/>
    <s v="Nehmat Kar"/>
    <n v="29"/>
    <x v="1"/>
    <x v="0"/>
    <x v="3"/>
    <x v="1253"/>
    <x v="1253"/>
    <x v="204"/>
    <x v="40"/>
    <n v="172099"/>
    <x v="2"/>
    <x v="0"/>
    <x v="4"/>
  </r>
  <r>
    <s v="CUST1255"/>
    <s v="Ishita Sodhi"/>
    <n v="56"/>
    <x v="0"/>
    <x v="7"/>
    <x v="3"/>
    <x v="1254"/>
    <x v="1254"/>
    <x v="78"/>
    <x v="52"/>
    <n v="86374"/>
    <x v="3"/>
    <x v="1"/>
    <x v="22"/>
  </r>
  <r>
    <s v="CUST1256"/>
    <s v="Khushi Bahl"/>
    <n v="52"/>
    <x v="0"/>
    <x v="0"/>
    <x v="0"/>
    <x v="1255"/>
    <x v="1255"/>
    <x v="144"/>
    <x v="0"/>
    <n v="185857"/>
    <x v="2"/>
    <x v="0"/>
    <x v="38"/>
  </r>
  <r>
    <s v="CUST1257"/>
    <s v="Nayantara Venkatesh"/>
    <n v="50"/>
    <x v="0"/>
    <x v="1"/>
    <x v="3"/>
    <x v="1256"/>
    <x v="1256"/>
    <x v="243"/>
    <x v="197"/>
    <n v="162605"/>
    <x v="2"/>
    <x v="0"/>
    <x v="37"/>
  </r>
  <r>
    <s v="CUST1258"/>
    <s v="Miraan Chowdhury"/>
    <n v="38"/>
    <x v="1"/>
    <x v="1"/>
    <x v="3"/>
    <x v="1257"/>
    <x v="1257"/>
    <x v="451"/>
    <x v="195"/>
    <n v="211851"/>
    <x v="2"/>
    <x v="0"/>
    <x v="1"/>
  </r>
  <r>
    <s v="CUST1259"/>
    <s v="Zeeshan Hayre"/>
    <n v="32"/>
    <x v="0"/>
    <x v="4"/>
    <x v="2"/>
    <x v="1258"/>
    <x v="1258"/>
    <x v="386"/>
    <x v="1"/>
    <n v="187895"/>
    <x v="0"/>
    <x v="1"/>
    <x v="9"/>
  </r>
  <r>
    <s v="CUST1260"/>
    <s v="Shlok Chad"/>
    <n v="33"/>
    <x v="0"/>
    <x v="7"/>
    <x v="0"/>
    <x v="1259"/>
    <x v="1259"/>
    <x v="400"/>
    <x v="419"/>
    <n v="218128"/>
    <x v="0"/>
    <x v="1"/>
    <x v="23"/>
  </r>
  <r>
    <s v="CUST1261"/>
    <s v="Kartik Chandran"/>
    <n v="25"/>
    <x v="0"/>
    <x v="0"/>
    <x v="3"/>
    <x v="1260"/>
    <x v="1260"/>
    <x v="292"/>
    <x v="387"/>
    <n v="74286"/>
    <x v="2"/>
    <x v="0"/>
    <x v="13"/>
  </r>
  <r>
    <s v="CUST1262"/>
    <s v="Zeeshan Mammen"/>
    <n v="62"/>
    <x v="1"/>
    <x v="7"/>
    <x v="1"/>
    <x v="1261"/>
    <x v="1261"/>
    <x v="516"/>
    <x v="298"/>
    <n v="176646"/>
    <x v="0"/>
    <x v="1"/>
    <x v="14"/>
  </r>
  <r>
    <s v="CUST1263"/>
    <s v="Kiaan Malhotra"/>
    <n v="38"/>
    <x v="0"/>
    <x v="0"/>
    <x v="3"/>
    <x v="1262"/>
    <x v="1262"/>
    <x v="502"/>
    <x v="107"/>
    <n v="112142"/>
    <x v="2"/>
    <x v="0"/>
    <x v="33"/>
  </r>
  <r>
    <s v="CUST1264"/>
    <s v="Yasmin Bajaj"/>
    <n v="42"/>
    <x v="0"/>
    <x v="2"/>
    <x v="2"/>
    <x v="1263"/>
    <x v="1263"/>
    <x v="533"/>
    <x v="214"/>
    <n v="30137"/>
    <x v="0"/>
    <x v="1"/>
    <x v="13"/>
  </r>
  <r>
    <s v="CUST1265"/>
    <s v="Aaryahi Bains"/>
    <n v="42"/>
    <x v="1"/>
    <x v="1"/>
    <x v="1"/>
    <x v="1264"/>
    <x v="1264"/>
    <x v="117"/>
    <x v="459"/>
    <n v="216359"/>
    <x v="0"/>
    <x v="0"/>
    <x v="27"/>
  </r>
  <r>
    <s v="CUST1266"/>
    <s v="Hunar Seshadri"/>
    <n v="61"/>
    <x v="0"/>
    <x v="3"/>
    <x v="1"/>
    <x v="1265"/>
    <x v="1265"/>
    <x v="405"/>
    <x v="109"/>
    <n v="53655"/>
    <x v="1"/>
    <x v="1"/>
    <x v="36"/>
  </r>
  <r>
    <s v="CUST1267"/>
    <s v="Ishaan Arora"/>
    <n v="69"/>
    <x v="1"/>
    <x v="3"/>
    <x v="1"/>
    <x v="1266"/>
    <x v="1266"/>
    <x v="534"/>
    <x v="152"/>
    <n v="160420"/>
    <x v="1"/>
    <x v="0"/>
    <x v="32"/>
  </r>
  <r>
    <s v="CUST1268"/>
    <s v="Aarush Bandi"/>
    <n v="20"/>
    <x v="0"/>
    <x v="4"/>
    <x v="1"/>
    <x v="1267"/>
    <x v="1267"/>
    <x v="302"/>
    <x v="92"/>
    <n v="96096"/>
    <x v="3"/>
    <x v="0"/>
    <x v="30"/>
  </r>
  <r>
    <s v="CUST1269"/>
    <s v="Aradhya Gera"/>
    <n v="42"/>
    <x v="1"/>
    <x v="3"/>
    <x v="2"/>
    <x v="1268"/>
    <x v="1268"/>
    <x v="452"/>
    <x v="4"/>
    <n v="223355"/>
    <x v="1"/>
    <x v="1"/>
    <x v="16"/>
  </r>
  <r>
    <s v="CUST1270"/>
    <s v="Keya Kant"/>
    <n v="32"/>
    <x v="0"/>
    <x v="7"/>
    <x v="1"/>
    <x v="1269"/>
    <x v="1269"/>
    <x v="501"/>
    <x v="55"/>
    <n v="207125"/>
    <x v="2"/>
    <x v="1"/>
    <x v="31"/>
  </r>
  <r>
    <s v="CUST1271"/>
    <s v="Hansh Kaur"/>
    <n v="68"/>
    <x v="1"/>
    <x v="4"/>
    <x v="0"/>
    <x v="1270"/>
    <x v="1270"/>
    <x v="56"/>
    <x v="190"/>
    <n v="203217"/>
    <x v="1"/>
    <x v="1"/>
    <x v="33"/>
  </r>
  <r>
    <s v="CUST1272"/>
    <s v="Nitara Chowdhury"/>
    <n v="53"/>
    <x v="1"/>
    <x v="4"/>
    <x v="1"/>
    <x v="1271"/>
    <x v="1271"/>
    <x v="11"/>
    <x v="296"/>
    <n v="204037"/>
    <x v="3"/>
    <x v="0"/>
    <x v="34"/>
  </r>
  <r>
    <s v="CUST1273"/>
    <s v="Vihaan Gola"/>
    <n v="25"/>
    <x v="1"/>
    <x v="6"/>
    <x v="1"/>
    <x v="1272"/>
    <x v="1272"/>
    <x v="535"/>
    <x v="122"/>
    <n v="26320"/>
    <x v="0"/>
    <x v="0"/>
    <x v="1"/>
  </r>
  <r>
    <s v="CUST1274"/>
    <s v="Vihaan Bansal"/>
    <n v="55"/>
    <x v="1"/>
    <x v="7"/>
    <x v="3"/>
    <x v="1273"/>
    <x v="1273"/>
    <x v="322"/>
    <x v="141"/>
    <n v="128332"/>
    <x v="0"/>
    <x v="0"/>
    <x v="4"/>
  </r>
  <r>
    <s v="CUST1275"/>
    <s v="Piya Suresh"/>
    <n v="25"/>
    <x v="0"/>
    <x v="5"/>
    <x v="2"/>
    <x v="1274"/>
    <x v="1274"/>
    <x v="199"/>
    <x v="298"/>
    <n v="157511"/>
    <x v="2"/>
    <x v="0"/>
    <x v="7"/>
  </r>
  <r>
    <s v="CUST1276"/>
    <s v="Jayesh Kala"/>
    <n v="30"/>
    <x v="0"/>
    <x v="3"/>
    <x v="2"/>
    <x v="1275"/>
    <x v="1275"/>
    <x v="88"/>
    <x v="218"/>
    <n v="194073"/>
    <x v="3"/>
    <x v="0"/>
    <x v="21"/>
  </r>
  <r>
    <s v="CUST1277"/>
    <s v="Adah Mall"/>
    <n v="48"/>
    <x v="1"/>
    <x v="5"/>
    <x v="2"/>
    <x v="1276"/>
    <x v="1276"/>
    <x v="201"/>
    <x v="460"/>
    <n v="154580"/>
    <x v="1"/>
    <x v="1"/>
    <x v="26"/>
  </r>
  <r>
    <s v="CUST1278"/>
    <s v="Shayak Ganguly"/>
    <n v="21"/>
    <x v="1"/>
    <x v="0"/>
    <x v="1"/>
    <x v="1277"/>
    <x v="1277"/>
    <x v="451"/>
    <x v="416"/>
    <n v="217229"/>
    <x v="3"/>
    <x v="0"/>
    <x v="11"/>
  </r>
  <r>
    <s v="CUST1279"/>
    <s v="Yuvraj  Mandal"/>
    <n v="48"/>
    <x v="0"/>
    <x v="1"/>
    <x v="3"/>
    <x v="1278"/>
    <x v="1278"/>
    <x v="213"/>
    <x v="52"/>
    <n v="181191"/>
    <x v="2"/>
    <x v="0"/>
    <x v="7"/>
  </r>
  <r>
    <s v="CUST1280"/>
    <s v="Mamooty Bobal"/>
    <n v="45"/>
    <x v="0"/>
    <x v="7"/>
    <x v="3"/>
    <x v="1279"/>
    <x v="1279"/>
    <x v="375"/>
    <x v="95"/>
    <n v="177239"/>
    <x v="1"/>
    <x v="1"/>
    <x v="6"/>
  </r>
  <r>
    <s v="CUST1281"/>
    <s v="Hrishita Wali"/>
    <n v="35"/>
    <x v="1"/>
    <x v="6"/>
    <x v="1"/>
    <x v="1280"/>
    <x v="1280"/>
    <x v="374"/>
    <x v="298"/>
    <n v="141767"/>
    <x v="2"/>
    <x v="1"/>
    <x v="30"/>
  </r>
  <r>
    <s v="CUST1282"/>
    <s v="Keya Ghosh"/>
    <n v="66"/>
    <x v="0"/>
    <x v="4"/>
    <x v="3"/>
    <x v="1281"/>
    <x v="1281"/>
    <x v="450"/>
    <x v="356"/>
    <n v="248369"/>
    <x v="0"/>
    <x v="1"/>
    <x v="5"/>
  </r>
  <r>
    <s v="CUST1283"/>
    <s v="Keya Buch"/>
    <n v="39"/>
    <x v="1"/>
    <x v="6"/>
    <x v="2"/>
    <x v="1282"/>
    <x v="1282"/>
    <x v="272"/>
    <x v="178"/>
    <n v="159654"/>
    <x v="1"/>
    <x v="1"/>
    <x v="17"/>
  </r>
  <r>
    <s v="CUST1284"/>
    <s v="Drishya Dewan"/>
    <n v="33"/>
    <x v="1"/>
    <x v="6"/>
    <x v="3"/>
    <x v="1283"/>
    <x v="1283"/>
    <x v="111"/>
    <x v="67"/>
    <n v="168377"/>
    <x v="2"/>
    <x v="0"/>
    <x v="27"/>
  </r>
  <r>
    <s v="CUST1285"/>
    <s v="Divij Uppal"/>
    <n v="67"/>
    <x v="1"/>
    <x v="5"/>
    <x v="2"/>
    <x v="1284"/>
    <x v="1284"/>
    <x v="267"/>
    <x v="280"/>
    <n v="180708"/>
    <x v="2"/>
    <x v="0"/>
    <x v="5"/>
  </r>
  <r>
    <s v="CUST1286"/>
    <s v="Gatik Toor"/>
    <n v="25"/>
    <x v="1"/>
    <x v="3"/>
    <x v="1"/>
    <x v="1285"/>
    <x v="1285"/>
    <x v="536"/>
    <x v="42"/>
    <n v="209947"/>
    <x v="1"/>
    <x v="0"/>
    <x v="12"/>
  </r>
  <r>
    <s v="CUST1287"/>
    <s v="Kimaya Goda"/>
    <n v="43"/>
    <x v="1"/>
    <x v="2"/>
    <x v="3"/>
    <x v="1286"/>
    <x v="1286"/>
    <x v="537"/>
    <x v="43"/>
    <n v="146967"/>
    <x v="0"/>
    <x v="1"/>
    <x v="18"/>
  </r>
  <r>
    <s v="CUST1288"/>
    <s v="Shayak Dhar"/>
    <n v="70"/>
    <x v="1"/>
    <x v="4"/>
    <x v="3"/>
    <x v="1287"/>
    <x v="1287"/>
    <x v="538"/>
    <x v="57"/>
    <n v="164358"/>
    <x v="2"/>
    <x v="0"/>
    <x v="37"/>
  </r>
  <r>
    <s v="CUST1289"/>
    <s v="Indrans Ben"/>
    <n v="35"/>
    <x v="1"/>
    <x v="0"/>
    <x v="3"/>
    <x v="1288"/>
    <x v="1288"/>
    <x v="187"/>
    <x v="22"/>
    <n v="33367"/>
    <x v="0"/>
    <x v="0"/>
    <x v="23"/>
  </r>
  <r>
    <s v="CUST1290"/>
    <s v="Vihaan Walla"/>
    <n v="29"/>
    <x v="1"/>
    <x v="2"/>
    <x v="3"/>
    <x v="1289"/>
    <x v="1289"/>
    <x v="59"/>
    <x v="215"/>
    <n v="52221"/>
    <x v="3"/>
    <x v="0"/>
    <x v="40"/>
  </r>
  <r>
    <s v="CUST1291"/>
    <s v="Jhanvi Keer"/>
    <n v="65"/>
    <x v="1"/>
    <x v="6"/>
    <x v="3"/>
    <x v="1290"/>
    <x v="1290"/>
    <x v="13"/>
    <x v="271"/>
    <n v="200020"/>
    <x v="2"/>
    <x v="0"/>
    <x v="9"/>
  </r>
  <r>
    <s v="CUST1292"/>
    <s v="Vritika Rajagopal"/>
    <n v="32"/>
    <x v="0"/>
    <x v="3"/>
    <x v="0"/>
    <x v="1291"/>
    <x v="1291"/>
    <x v="319"/>
    <x v="144"/>
    <n v="77786"/>
    <x v="1"/>
    <x v="0"/>
    <x v="33"/>
  </r>
  <r>
    <s v="CUST1293"/>
    <s v="Kiaan Vasa"/>
    <n v="28"/>
    <x v="0"/>
    <x v="2"/>
    <x v="3"/>
    <x v="1292"/>
    <x v="1292"/>
    <x v="400"/>
    <x v="35"/>
    <n v="231212"/>
    <x v="2"/>
    <x v="0"/>
    <x v="20"/>
  </r>
  <r>
    <s v="CUST1294"/>
    <s v="Lakshit Tak"/>
    <n v="24"/>
    <x v="0"/>
    <x v="1"/>
    <x v="3"/>
    <x v="1293"/>
    <x v="1293"/>
    <x v="537"/>
    <x v="240"/>
    <n v="84538"/>
    <x v="0"/>
    <x v="0"/>
    <x v="31"/>
  </r>
  <r>
    <s v="CUST1295"/>
    <s v="Ivan Thakkar"/>
    <n v="33"/>
    <x v="0"/>
    <x v="2"/>
    <x v="1"/>
    <x v="1294"/>
    <x v="1294"/>
    <x v="527"/>
    <x v="122"/>
    <n v="195940"/>
    <x v="2"/>
    <x v="1"/>
    <x v="2"/>
  </r>
  <r>
    <s v="CUST1296"/>
    <s v="Adah Wali"/>
    <n v="27"/>
    <x v="1"/>
    <x v="1"/>
    <x v="1"/>
    <x v="1295"/>
    <x v="1295"/>
    <x v="141"/>
    <x v="363"/>
    <n v="213767"/>
    <x v="2"/>
    <x v="1"/>
    <x v="33"/>
  </r>
  <r>
    <s v="CUST1297"/>
    <s v="Vihaan Warrior"/>
    <n v="38"/>
    <x v="0"/>
    <x v="2"/>
    <x v="1"/>
    <x v="1296"/>
    <x v="1296"/>
    <x v="389"/>
    <x v="138"/>
    <n v="25430"/>
    <x v="3"/>
    <x v="1"/>
    <x v="11"/>
  </r>
  <r>
    <s v="CUST1298"/>
    <s v="Ivana Sawhney"/>
    <n v="31"/>
    <x v="0"/>
    <x v="0"/>
    <x v="1"/>
    <x v="1297"/>
    <x v="1297"/>
    <x v="430"/>
    <x v="1"/>
    <n v="77128"/>
    <x v="0"/>
    <x v="0"/>
    <x v="4"/>
  </r>
  <r>
    <s v="CUST1299"/>
    <s v="Fateh Sen"/>
    <n v="59"/>
    <x v="1"/>
    <x v="0"/>
    <x v="0"/>
    <x v="1298"/>
    <x v="1298"/>
    <x v="434"/>
    <x v="461"/>
    <n v="202866"/>
    <x v="2"/>
    <x v="1"/>
    <x v="25"/>
  </r>
  <r>
    <s v="CUST1300"/>
    <s v="Ayesha Dixit"/>
    <n v="64"/>
    <x v="1"/>
    <x v="6"/>
    <x v="1"/>
    <x v="1299"/>
    <x v="1299"/>
    <x v="245"/>
    <x v="462"/>
    <n v="136739"/>
    <x v="3"/>
    <x v="0"/>
    <x v="2"/>
  </r>
  <r>
    <s v="CUST1301"/>
    <s v="Indrajit Choudhry"/>
    <n v="32"/>
    <x v="0"/>
    <x v="0"/>
    <x v="3"/>
    <x v="1300"/>
    <x v="1300"/>
    <x v="12"/>
    <x v="125"/>
    <n v="243778"/>
    <x v="0"/>
    <x v="0"/>
    <x v="11"/>
  </r>
  <r>
    <s v="CUST1302"/>
    <s v="Mannat Kashyap"/>
    <n v="23"/>
    <x v="1"/>
    <x v="4"/>
    <x v="2"/>
    <x v="1301"/>
    <x v="1301"/>
    <x v="491"/>
    <x v="45"/>
    <n v="205363"/>
    <x v="1"/>
    <x v="0"/>
    <x v="13"/>
  </r>
  <r>
    <s v="CUST1303"/>
    <s v="Gokul Kade"/>
    <n v="45"/>
    <x v="0"/>
    <x v="1"/>
    <x v="0"/>
    <x v="1302"/>
    <x v="1302"/>
    <x v="128"/>
    <x v="69"/>
    <n v="93010"/>
    <x v="0"/>
    <x v="0"/>
    <x v="31"/>
  </r>
  <r>
    <s v="CUST1304"/>
    <s v="Kashvi Verma"/>
    <n v="36"/>
    <x v="0"/>
    <x v="2"/>
    <x v="0"/>
    <x v="1303"/>
    <x v="1303"/>
    <x v="524"/>
    <x v="350"/>
    <n v="163638"/>
    <x v="0"/>
    <x v="1"/>
    <x v="20"/>
  </r>
  <r>
    <s v="CUST1305"/>
    <s v="Tejas Devan"/>
    <n v="70"/>
    <x v="0"/>
    <x v="3"/>
    <x v="2"/>
    <x v="1304"/>
    <x v="1304"/>
    <x v="384"/>
    <x v="56"/>
    <n v="225296"/>
    <x v="3"/>
    <x v="0"/>
    <x v="8"/>
  </r>
  <r>
    <s v="CUST1306"/>
    <s v="Tushar Dua"/>
    <n v="38"/>
    <x v="0"/>
    <x v="0"/>
    <x v="2"/>
    <x v="1305"/>
    <x v="1305"/>
    <x v="66"/>
    <x v="11"/>
    <n v="244239"/>
    <x v="3"/>
    <x v="0"/>
    <x v="36"/>
  </r>
  <r>
    <s v="CUST1307"/>
    <s v="Indranil Jaggi"/>
    <n v="48"/>
    <x v="1"/>
    <x v="1"/>
    <x v="1"/>
    <x v="1306"/>
    <x v="1306"/>
    <x v="539"/>
    <x v="311"/>
    <n v="60870"/>
    <x v="3"/>
    <x v="0"/>
    <x v="28"/>
  </r>
  <r>
    <s v="CUST1308"/>
    <s v="Nirvaan Sarin"/>
    <n v="63"/>
    <x v="0"/>
    <x v="7"/>
    <x v="3"/>
    <x v="1307"/>
    <x v="1307"/>
    <x v="463"/>
    <x v="387"/>
    <n v="85068"/>
    <x v="2"/>
    <x v="1"/>
    <x v="38"/>
  </r>
  <r>
    <s v="CUST1309"/>
    <s v="Mehul Keer"/>
    <n v="61"/>
    <x v="1"/>
    <x v="0"/>
    <x v="3"/>
    <x v="1308"/>
    <x v="1308"/>
    <x v="238"/>
    <x v="63"/>
    <n v="217724"/>
    <x v="2"/>
    <x v="0"/>
    <x v="24"/>
  </r>
  <r>
    <s v="CUST1310"/>
    <s v="Nakul Halder"/>
    <n v="50"/>
    <x v="1"/>
    <x v="6"/>
    <x v="0"/>
    <x v="1309"/>
    <x v="1309"/>
    <x v="318"/>
    <x v="463"/>
    <n v="244900"/>
    <x v="2"/>
    <x v="1"/>
    <x v="12"/>
  </r>
  <r>
    <s v="CUST1311"/>
    <s v="Raghav Sani"/>
    <n v="42"/>
    <x v="1"/>
    <x v="3"/>
    <x v="1"/>
    <x v="1310"/>
    <x v="1310"/>
    <x v="1"/>
    <x v="464"/>
    <n v="98516"/>
    <x v="3"/>
    <x v="1"/>
    <x v="20"/>
  </r>
  <r>
    <s v="CUST1312"/>
    <s v="Vidur Garg"/>
    <n v="43"/>
    <x v="1"/>
    <x v="4"/>
    <x v="3"/>
    <x v="1311"/>
    <x v="1311"/>
    <x v="303"/>
    <x v="46"/>
    <n v="84092"/>
    <x v="3"/>
    <x v="1"/>
    <x v="22"/>
  </r>
  <r>
    <s v="CUST1313"/>
    <s v="Tarini Kadakia"/>
    <n v="26"/>
    <x v="0"/>
    <x v="6"/>
    <x v="3"/>
    <x v="1312"/>
    <x v="1312"/>
    <x v="176"/>
    <x v="219"/>
    <n v="128999"/>
    <x v="0"/>
    <x v="1"/>
    <x v="1"/>
  </r>
  <r>
    <s v="CUST1314"/>
    <s v="Zaina Devan"/>
    <n v="47"/>
    <x v="1"/>
    <x v="7"/>
    <x v="1"/>
    <x v="1313"/>
    <x v="1313"/>
    <x v="459"/>
    <x v="255"/>
    <n v="121333"/>
    <x v="0"/>
    <x v="1"/>
    <x v="4"/>
  </r>
  <r>
    <s v="CUST1315"/>
    <s v="Ishita Choudhury"/>
    <n v="39"/>
    <x v="1"/>
    <x v="7"/>
    <x v="0"/>
    <x v="1314"/>
    <x v="1314"/>
    <x v="461"/>
    <x v="55"/>
    <n v="70719"/>
    <x v="3"/>
    <x v="1"/>
    <x v="29"/>
  </r>
  <r>
    <s v="CUST1316"/>
    <s v="Zain Buch"/>
    <n v="19"/>
    <x v="1"/>
    <x v="5"/>
    <x v="0"/>
    <x v="1315"/>
    <x v="1315"/>
    <x v="419"/>
    <x v="129"/>
    <n v="137534"/>
    <x v="0"/>
    <x v="1"/>
    <x v="26"/>
  </r>
  <r>
    <s v="CUST1317"/>
    <s v="Aradhya Wable"/>
    <n v="66"/>
    <x v="0"/>
    <x v="3"/>
    <x v="1"/>
    <x v="1316"/>
    <x v="1316"/>
    <x v="540"/>
    <x v="3"/>
    <n v="147799"/>
    <x v="1"/>
    <x v="1"/>
    <x v="8"/>
  </r>
  <r>
    <s v="CUST1318"/>
    <s v="Kismat Shankar"/>
    <n v="64"/>
    <x v="1"/>
    <x v="0"/>
    <x v="2"/>
    <x v="1317"/>
    <x v="1317"/>
    <x v="535"/>
    <x v="104"/>
    <n v="209410"/>
    <x v="0"/>
    <x v="0"/>
    <x v="26"/>
  </r>
  <r>
    <s v="CUST1319"/>
    <s v="Neelofar Magar"/>
    <n v="37"/>
    <x v="0"/>
    <x v="0"/>
    <x v="3"/>
    <x v="1318"/>
    <x v="1318"/>
    <x v="65"/>
    <x v="336"/>
    <n v="23175"/>
    <x v="3"/>
    <x v="0"/>
    <x v="14"/>
  </r>
  <r>
    <s v="CUST1320"/>
    <s v="Zoya Anand"/>
    <n v="22"/>
    <x v="1"/>
    <x v="3"/>
    <x v="1"/>
    <x v="1319"/>
    <x v="1319"/>
    <x v="522"/>
    <x v="377"/>
    <n v="62832"/>
    <x v="0"/>
    <x v="0"/>
    <x v="10"/>
  </r>
  <r>
    <s v="CUST1321"/>
    <s v="Himmat Sawhney"/>
    <n v="60"/>
    <x v="1"/>
    <x v="5"/>
    <x v="3"/>
    <x v="1320"/>
    <x v="1320"/>
    <x v="96"/>
    <x v="147"/>
    <n v="140483"/>
    <x v="3"/>
    <x v="1"/>
    <x v="22"/>
  </r>
  <r>
    <s v="CUST1322"/>
    <s v="Dishani Dada"/>
    <n v="69"/>
    <x v="1"/>
    <x v="6"/>
    <x v="1"/>
    <x v="1321"/>
    <x v="1321"/>
    <x v="434"/>
    <x v="50"/>
    <n v="175674"/>
    <x v="2"/>
    <x v="0"/>
    <x v="22"/>
  </r>
  <r>
    <s v="CUST1323"/>
    <s v="Kiaan Kara"/>
    <n v="55"/>
    <x v="0"/>
    <x v="1"/>
    <x v="1"/>
    <x v="1322"/>
    <x v="1322"/>
    <x v="359"/>
    <x v="182"/>
    <n v="98732"/>
    <x v="3"/>
    <x v="0"/>
    <x v="2"/>
  </r>
  <r>
    <s v="CUST1324"/>
    <s v="Jivin Kaur"/>
    <n v="62"/>
    <x v="1"/>
    <x v="2"/>
    <x v="2"/>
    <x v="1323"/>
    <x v="1323"/>
    <x v="469"/>
    <x v="232"/>
    <n v="162136"/>
    <x v="3"/>
    <x v="1"/>
    <x v="25"/>
  </r>
  <r>
    <s v="CUST1325"/>
    <s v="Ahana  Deo"/>
    <n v="60"/>
    <x v="1"/>
    <x v="3"/>
    <x v="1"/>
    <x v="1324"/>
    <x v="1324"/>
    <x v="283"/>
    <x v="275"/>
    <n v="37385"/>
    <x v="2"/>
    <x v="0"/>
    <x v="21"/>
  </r>
  <r>
    <s v="CUST1326"/>
    <s v="Mannat Sha"/>
    <n v="39"/>
    <x v="0"/>
    <x v="0"/>
    <x v="1"/>
    <x v="1325"/>
    <x v="1325"/>
    <x v="67"/>
    <x v="144"/>
    <n v="117092"/>
    <x v="3"/>
    <x v="1"/>
    <x v="34"/>
  </r>
  <r>
    <s v="CUST1327"/>
    <s v="Gokul Dash"/>
    <n v="33"/>
    <x v="0"/>
    <x v="2"/>
    <x v="0"/>
    <x v="1326"/>
    <x v="1326"/>
    <x v="212"/>
    <x v="206"/>
    <n v="180057"/>
    <x v="0"/>
    <x v="0"/>
    <x v="16"/>
  </r>
  <r>
    <s v="CUST1328"/>
    <s v="Lavanya Wali"/>
    <n v="27"/>
    <x v="0"/>
    <x v="7"/>
    <x v="2"/>
    <x v="1327"/>
    <x v="1327"/>
    <x v="513"/>
    <x v="364"/>
    <n v="161654"/>
    <x v="1"/>
    <x v="1"/>
    <x v="9"/>
  </r>
  <r>
    <s v="CUST1329"/>
    <s v="Neysa Kala"/>
    <n v="61"/>
    <x v="1"/>
    <x v="5"/>
    <x v="0"/>
    <x v="1328"/>
    <x v="1328"/>
    <x v="208"/>
    <x v="465"/>
    <n v="199742"/>
    <x v="0"/>
    <x v="0"/>
    <x v="15"/>
  </r>
  <r>
    <s v="CUST1330"/>
    <s v="Manjari Cherian"/>
    <n v="20"/>
    <x v="1"/>
    <x v="2"/>
    <x v="3"/>
    <x v="1329"/>
    <x v="1329"/>
    <x v="355"/>
    <x v="219"/>
    <n v="181051"/>
    <x v="1"/>
    <x v="0"/>
    <x v="21"/>
  </r>
  <r>
    <s v="CUST1331"/>
    <s v="Navya Ahuja"/>
    <n v="57"/>
    <x v="0"/>
    <x v="4"/>
    <x v="2"/>
    <x v="1330"/>
    <x v="1330"/>
    <x v="484"/>
    <x v="21"/>
    <n v="94565"/>
    <x v="1"/>
    <x v="0"/>
    <x v="1"/>
  </r>
  <r>
    <s v="CUST1332"/>
    <s v="Dishani Shankar"/>
    <n v="43"/>
    <x v="1"/>
    <x v="6"/>
    <x v="1"/>
    <x v="1331"/>
    <x v="1331"/>
    <x v="255"/>
    <x v="125"/>
    <n v="243387"/>
    <x v="2"/>
    <x v="0"/>
    <x v="3"/>
  </r>
  <r>
    <s v="CUST1333"/>
    <s v="Lakshay Sagar"/>
    <n v="68"/>
    <x v="0"/>
    <x v="7"/>
    <x v="0"/>
    <x v="1332"/>
    <x v="1332"/>
    <x v="79"/>
    <x v="108"/>
    <n v="242068"/>
    <x v="0"/>
    <x v="0"/>
    <x v="29"/>
  </r>
  <r>
    <s v="CUST1334"/>
    <s v="Dharmajan Kota"/>
    <n v="27"/>
    <x v="1"/>
    <x v="1"/>
    <x v="1"/>
    <x v="1333"/>
    <x v="1333"/>
    <x v="93"/>
    <x v="449"/>
    <n v="48226"/>
    <x v="2"/>
    <x v="1"/>
    <x v="28"/>
  </r>
  <r>
    <s v="CUST1335"/>
    <s v="Kiara Gandhi"/>
    <n v="25"/>
    <x v="1"/>
    <x v="7"/>
    <x v="3"/>
    <x v="1334"/>
    <x v="1334"/>
    <x v="377"/>
    <x v="444"/>
    <n v="188902"/>
    <x v="3"/>
    <x v="1"/>
    <x v="32"/>
  </r>
  <r>
    <s v="CUST1336"/>
    <s v="Aayush Loke"/>
    <n v="30"/>
    <x v="1"/>
    <x v="4"/>
    <x v="1"/>
    <x v="1335"/>
    <x v="1335"/>
    <x v="530"/>
    <x v="461"/>
    <n v="110462"/>
    <x v="1"/>
    <x v="1"/>
    <x v="31"/>
  </r>
  <r>
    <s v="CUST1337"/>
    <s v="Urvi Sarraf"/>
    <n v="26"/>
    <x v="0"/>
    <x v="7"/>
    <x v="2"/>
    <x v="1336"/>
    <x v="1336"/>
    <x v="260"/>
    <x v="17"/>
    <n v="233852"/>
    <x v="1"/>
    <x v="1"/>
    <x v="27"/>
  </r>
  <r>
    <s v="CUST1338"/>
    <s v="Veer Sheth"/>
    <n v="23"/>
    <x v="1"/>
    <x v="6"/>
    <x v="2"/>
    <x v="1337"/>
    <x v="1337"/>
    <x v="463"/>
    <x v="434"/>
    <n v="147636"/>
    <x v="3"/>
    <x v="1"/>
    <x v="29"/>
  </r>
  <r>
    <s v="CUST1339"/>
    <s v="Ishita Sawhney"/>
    <n v="20"/>
    <x v="1"/>
    <x v="7"/>
    <x v="0"/>
    <x v="1338"/>
    <x v="1338"/>
    <x v="185"/>
    <x v="267"/>
    <n v="222076"/>
    <x v="2"/>
    <x v="0"/>
    <x v="26"/>
  </r>
  <r>
    <s v="CUST1340"/>
    <s v="Anahita Chahal"/>
    <n v="31"/>
    <x v="0"/>
    <x v="0"/>
    <x v="0"/>
    <x v="1339"/>
    <x v="1339"/>
    <x v="426"/>
    <x v="223"/>
    <n v="58746"/>
    <x v="2"/>
    <x v="1"/>
    <x v="24"/>
  </r>
  <r>
    <s v="CUST1341"/>
    <s v="Akarsh Banik"/>
    <n v="52"/>
    <x v="0"/>
    <x v="4"/>
    <x v="1"/>
    <x v="1340"/>
    <x v="1340"/>
    <x v="422"/>
    <x v="428"/>
    <n v="218121"/>
    <x v="2"/>
    <x v="0"/>
    <x v="12"/>
  </r>
  <r>
    <s v="CUST1342"/>
    <s v="Adah Bajwa"/>
    <n v="38"/>
    <x v="0"/>
    <x v="1"/>
    <x v="3"/>
    <x v="1341"/>
    <x v="1341"/>
    <x v="35"/>
    <x v="402"/>
    <n v="238838"/>
    <x v="2"/>
    <x v="1"/>
    <x v="1"/>
  </r>
  <r>
    <s v="CUST1343"/>
    <s v="Anika Thakur"/>
    <n v="18"/>
    <x v="1"/>
    <x v="7"/>
    <x v="0"/>
    <x v="1342"/>
    <x v="1342"/>
    <x v="385"/>
    <x v="348"/>
    <n v="159131"/>
    <x v="1"/>
    <x v="1"/>
    <x v="21"/>
  </r>
  <r>
    <s v="CUST1344"/>
    <s v="Himmat Gokhale"/>
    <n v="19"/>
    <x v="0"/>
    <x v="4"/>
    <x v="2"/>
    <x v="1343"/>
    <x v="1343"/>
    <x v="269"/>
    <x v="310"/>
    <n v="151531"/>
    <x v="1"/>
    <x v="0"/>
    <x v="12"/>
  </r>
  <r>
    <s v="CUST1345"/>
    <s v="Kimaya Mammen"/>
    <n v="33"/>
    <x v="1"/>
    <x v="2"/>
    <x v="3"/>
    <x v="1344"/>
    <x v="1344"/>
    <x v="124"/>
    <x v="379"/>
    <n v="121980"/>
    <x v="3"/>
    <x v="1"/>
    <x v="11"/>
  </r>
  <r>
    <s v="CUST1346"/>
    <s v="Zaina Chawla"/>
    <n v="19"/>
    <x v="1"/>
    <x v="0"/>
    <x v="2"/>
    <x v="1345"/>
    <x v="1345"/>
    <x v="54"/>
    <x v="290"/>
    <n v="46072"/>
    <x v="2"/>
    <x v="0"/>
    <x v="1"/>
  </r>
  <r>
    <s v="CUST1347"/>
    <s v="Inaaya  Lala"/>
    <n v="64"/>
    <x v="0"/>
    <x v="2"/>
    <x v="2"/>
    <x v="1346"/>
    <x v="1346"/>
    <x v="118"/>
    <x v="352"/>
    <n v="62967"/>
    <x v="0"/>
    <x v="0"/>
    <x v="35"/>
  </r>
  <r>
    <s v="CUST1348"/>
    <s v="Romil Zacharia"/>
    <n v="33"/>
    <x v="1"/>
    <x v="5"/>
    <x v="0"/>
    <x v="1347"/>
    <x v="1347"/>
    <x v="460"/>
    <x v="160"/>
    <n v="37296"/>
    <x v="2"/>
    <x v="0"/>
    <x v="31"/>
  </r>
  <r>
    <s v="CUST1349"/>
    <s v="Armaan Sarna"/>
    <n v="48"/>
    <x v="0"/>
    <x v="0"/>
    <x v="2"/>
    <x v="1348"/>
    <x v="1348"/>
    <x v="366"/>
    <x v="305"/>
    <n v="195111"/>
    <x v="1"/>
    <x v="0"/>
    <x v="23"/>
  </r>
  <r>
    <s v="CUST1350"/>
    <s v="Saksham Sankaran"/>
    <n v="57"/>
    <x v="0"/>
    <x v="1"/>
    <x v="1"/>
    <x v="1349"/>
    <x v="1349"/>
    <x v="251"/>
    <x v="339"/>
    <n v="230862"/>
    <x v="1"/>
    <x v="0"/>
    <x v="29"/>
  </r>
  <r>
    <s v="CUST1351"/>
    <s v="Lakshay Shere"/>
    <n v="39"/>
    <x v="1"/>
    <x v="1"/>
    <x v="2"/>
    <x v="1350"/>
    <x v="1350"/>
    <x v="466"/>
    <x v="194"/>
    <n v="243741"/>
    <x v="3"/>
    <x v="1"/>
    <x v="36"/>
  </r>
  <r>
    <s v="CUST1352"/>
    <s v="Hridaan Subramaniam"/>
    <n v="67"/>
    <x v="1"/>
    <x v="4"/>
    <x v="1"/>
    <x v="1351"/>
    <x v="1351"/>
    <x v="77"/>
    <x v="284"/>
    <n v="173709"/>
    <x v="1"/>
    <x v="1"/>
    <x v="1"/>
  </r>
  <r>
    <s v="CUST1353"/>
    <s v="Priyansh Yadav"/>
    <n v="30"/>
    <x v="1"/>
    <x v="5"/>
    <x v="1"/>
    <x v="1352"/>
    <x v="1352"/>
    <x v="505"/>
    <x v="435"/>
    <n v="31000"/>
    <x v="0"/>
    <x v="1"/>
    <x v="20"/>
  </r>
  <r>
    <s v="CUST1354"/>
    <s v="Ojas Tata"/>
    <n v="47"/>
    <x v="0"/>
    <x v="4"/>
    <x v="1"/>
    <x v="1353"/>
    <x v="1353"/>
    <x v="92"/>
    <x v="386"/>
    <n v="42341"/>
    <x v="1"/>
    <x v="0"/>
    <x v="28"/>
  </r>
  <r>
    <s v="CUST1355"/>
    <s v="Mohanlal Tella"/>
    <n v="57"/>
    <x v="1"/>
    <x v="6"/>
    <x v="0"/>
    <x v="1354"/>
    <x v="1354"/>
    <x v="339"/>
    <x v="153"/>
    <n v="232554"/>
    <x v="0"/>
    <x v="0"/>
    <x v="4"/>
  </r>
  <r>
    <s v="CUST1356"/>
    <s v="Pranay Srivastava"/>
    <n v="37"/>
    <x v="0"/>
    <x v="6"/>
    <x v="3"/>
    <x v="1355"/>
    <x v="1355"/>
    <x v="54"/>
    <x v="227"/>
    <n v="194279"/>
    <x v="2"/>
    <x v="0"/>
    <x v="16"/>
  </r>
  <r>
    <s v="CUST1357"/>
    <s v="Lavanya Dar"/>
    <n v="51"/>
    <x v="1"/>
    <x v="5"/>
    <x v="2"/>
    <x v="1356"/>
    <x v="1356"/>
    <x v="35"/>
    <x v="428"/>
    <n v="115364"/>
    <x v="0"/>
    <x v="0"/>
    <x v="20"/>
  </r>
  <r>
    <s v="CUST1358"/>
    <s v="Zain Gandhi"/>
    <n v="51"/>
    <x v="1"/>
    <x v="5"/>
    <x v="0"/>
    <x v="1357"/>
    <x v="1357"/>
    <x v="483"/>
    <x v="466"/>
    <n v="178048"/>
    <x v="3"/>
    <x v="0"/>
    <x v="38"/>
  </r>
  <r>
    <s v="CUST1359"/>
    <s v="Gokul D’Alia"/>
    <n v="55"/>
    <x v="0"/>
    <x v="6"/>
    <x v="3"/>
    <x v="1358"/>
    <x v="1358"/>
    <x v="150"/>
    <x v="316"/>
    <n v="229812"/>
    <x v="0"/>
    <x v="1"/>
    <x v="8"/>
  </r>
  <r>
    <s v="CUST1360"/>
    <s v="Hunar Kunda"/>
    <n v="66"/>
    <x v="0"/>
    <x v="3"/>
    <x v="0"/>
    <x v="1359"/>
    <x v="1359"/>
    <x v="226"/>
    <x v="283"/>
    <n v="30679"/>
    <x v="0"/>
    <x v="0"/>
    <x v="27"/>
  </r>
  <r>
    <s v="CUST1361"/>
    <s v="Pranay Sachar"/>
    <n v="24"/>
    <x v="0"/>
    <x v="1"/>
    <x v="0"/>
    <x v="1360"/>
    <x v="1360"/>
    <x v="276"/>
    <x v="281"/>
    <n v="145036"/>
    <x v="1"/>
    <x v="0"/>
    <x v="23"/>
  </r>
  <r>
    <s v="CUST1362"/>
    <s v="Yakshit Bail"/>
    <n v="29"/>
    <x v="1"/>
    <x v="1"/>
    <x v="2"/>
    <x v="1361"/>
    <x v="1361"/>
    <x v="466"/>
    <x v="178"/>
    <n v="189996"/>
    <x v="3"/>
    <x v="0"/>
    <x v="39"/>
  </r>
  <r>
    <s v="CUST1363"/>
    <s v="Navya Behl"/>
    <n v="44"/>
    <x v="0"/>
    <x v="4"/>
    <x v="2"/>
    <x v="1362"/>
    <x v="1362"/>
    <x v="312"/>
    <x v="126"/>
    <n v="21385"/>
    <x v="0"/>
    <x v="1"/>
    <x v="0"/>
  </r>
  <r>
    <s v="CUST1364"/>
    <s v="Hiran Tailor"/>
    <n v="31"/>
    <x v="1"/>
    <x v="0"/>
    <x v="3"/>
    <x v="1363"/>
    <x v="1363"/>
    <x v="401"/>
    <x v="334"/>
    <n v="180761"/>
    <x v="1"/>
    <x v="0"/>
    <x v="18"/>
  </r>
  <r>
    <s v="CUST1365"/>
    <s v="Dhanush Shukla"/>
    <n v="57"/>
    <x v="0"/>
    <x v="2"/>
    <x v="1"/>
    <x v="1364"/>
    <x v="1364"/>
    <x v="245"/>
    <x v="177"/>
    <n v="244431"/>
    <x v="3"/>
    <x v="1"/>
    <x v="12"/>
  </r>
  <r>
    <s v="CUST1366"/>
    <s v="Hunar Bhargava"/>
    <n v="62"/>
    <x v="0"/>
    <x v="3"/>
    <x v="0"/>
    <x v="1365"/>
    <x v="1365"/>
    <x v="358"/>
    <x v="203"/>
    <n v="53604"/>
    <x v="3"/>
    <x v="0"/>
    <x v="38"/>
  </r>
  <r>
    <s v="CUST1367"/>
    <s v="Umang Madan"/>
    <n v="65"/>
    <x v="0"/>
    <x v="7"/>
    <x v="2"/>
    <x v="1366"/>
    <x v="1366"/>
    <x v="541"/>
    <x v="160"/>
    <n v="32206"/>
    <x v="0"/>
    <x v="0"/>
    <x v="2"/>
  </r>
  <r>
    <s v="CUST1368"/>
    <s v="Anika Bumb"/>
    <n v="44"/>
    <x v="0"/>
    <x v="5"/>
    <x v="3"/>
    <x v="1367"/>
    <x v="1367"/>
    <x v="542"/>
    <x v="44"/>
    <n v="48037"/>
    <x v="2"/>
    <x v="1"/>
    <x v="1"/>
  </r>
  <r>
    <s v="CUST1369"/>
    <s v="Arnav Barman"/>
    <n v="60"/>
    <x v="0"/>
    <x v="0"/>
    <x v="3"/>
    <x v="1368"/>
    <x v="1368"/>
    <x v="122"/>
    <x v="31"/>
    <n v="156017"/>
    <x v="3"/>
    <x v="0"/>
    <x v="26"/>
  </r>
  <r>
    <s v="CUST1370"/>
    <s v="Ranbir Boase"/>
    <n v="49"/>
    <x v="0"/>
    <x v="7"/>
    <x v="0"/>
    <x v="1369"/>
    <x v="1369"/>
    <x v="530"/>
    <x v="302"/>
    <n v="148165"/>
    <x v="2"/>
    <x v="1"/>
    <x v="14"/>
  </r>
  <r>
    <s v="CUST1371"/>
    <s v="Mishti Barad"/>
    <n v="31"/>
    <x v="0"/>
    <x v="4"/>
    <x v="0"/>
    <x v="1370"/>
    <x v="1370"/>
    <x v="101"/>
    <x v="187"/>
    <n v="128371"/>
    <x v="2"/>
    <x v="1"/>
    <x v="31"/>
  </r>
  <r>
    <s v="CUST1372"/>
    <s v="Darshit Batra"/>
    <n v="37"/>
    <x v="1"/>
    <x v="6"/>
    <x v="2"/>
    <x v="1371"/>
    <x v="1371"/>
    <x v="310"/>
    <x v="304"/>
    <n v="188886"/>
    <x v="2"/>
    <x v="0"/>
    <x v="22"/>
  </r>
  <r>
    <s v="CUST1373"/>
    <s v="Anya Korpal"/>
    <n v="46"/>
    <x v="0"/>
    <x v="2"/>
    <x v="3"/>
    <x v="1372"/>
    <x v="1372"/>
    <x v="543"/>
    <x v="312"/>
    <n v="54992"/>
    <x v="1"/>
    <x v="1"/>
    <x v="2"/>
  </r>
  <r>
    <s v="CUST1374"/>
    <s v="Jivin Vora"/>
    <n v="62"/>
    <x v="0"/>
    <x v="2"/>
    <x v="2"/>
    <x v="1373"/>
    <x v="1373"/>
    <x v="397"/>
    <x v="71"/>
    <n v="45908"/>
    <x v="1"/>
    <x v="1"/>
    <x v="21"/>
  </r>
  <r>
    <s v="CUST1375"/>
    <s v="Suhana Kapur"/>
    <n v="69"/>
    <x v="0"/>
    <x v="4"/>
    <x v="0"/>
    <x v="1374"/>
    <x v="1374"/>
    <x v="97"/>
    <x v="225"/>
    <n v="84040"/>
    <x v="3"/>
    <x v="0"/>
    <x v="26"/>
  </r>
  <r>
    <s v="CUST1376"/>
    <s v="Jayan Kakar"/>
    <n v="38"/>
    <x v="0"/>
    <x v="3"/>
    <x v="0"/>
    <x v="1375"/>
    <x v="1375"/>
    <x v="343"/>
    <x v="51"/>
    <n v="221455"/>
    <x v="1"/>
    <x v="1"/>
    <x v="9"/>
  </r>
  <r>
    <s v="CUST1377"/>
    <s v="Piya Mann"/>
    <n v="34"/>
    <x v="1"/>
    <x v="2"/>
    <x v="1"/>
    <x v="1376"/>
    <x v="1376"/>
    <x v="350"/>
    <x v="265"/>
    <n v="202459"/>
    <x v="2"/>
    <x v="0"/>
    <x v="40"/>
  </r>
  <r>
    <s v="CUST1378"/>
    <s v="Krish Bandi"/>
    <n v="33"/>
    <x v="1"/>
    <x v="4"/>
    <x v="2"/>
    <x v="1377"/>
    <x v="1377"/>
    <x v="239"/>
    <x v="221"/>
    <n v="105122"/>
    <x v="2"/>
    <x v="0"/>
    <x v="13"/>
  </r>
  <r>
    <s v="CUST1379"/>
    <s v="Yakshit Ray"/>
    <n v="62"/>
    <x v="0"/>
    <x v="4"/>
    <x v="1"/>
    <x v="1378"/>
    <x v="1378"/>
    <x v="248"/>
    <x v="142"/>
    <n v="39993"/>
    <x v="0"/>
    <x v="0"/>
    <x v="7"/>
  </r>
  <r>
    <s v="CUST1380"/>
    <s v="Suhana Divan"/>
    <n v="61"/>
    <x v="0"/>
    <x v="6"/>
    <x v="0"/>
    <x v="1379"/>
    <x v="1379"/>
    <x v="235"/>
    <x v="246"/>
    <n v="163803"/>
    <x v="2"/>
    <x v="0"/>
    <x v="16"/>
  </r>
  <r>
    <s v="CUST1381"/>
    <s v="Bhamini Dara"/>
    <n v="35"/>
    <x v="0"/>
    <x v="2"/>
    <x v="0"/>
    <x v="1380"/>
    <x v="1380"/>
    <x v="327"/>
    <x v="104"/>
    <n v="188563"/>
    <x v="1"/>
    <x v="0"/>
    <x v="18"/>
  </r>
  <r>
    <s v="CUST1382"/>
    <s v="Jiya Banik"/>
    <n v="20"/>
    <x v="0"/>
    <x v="0"/>
    <x v="3"/>
    <x v="1381"/>
    <x v="1381"/>
    <x v="390"/>
    <x v="381"/>
    <n v="144783"/>
    <x v="0"/>
    <x v="0"/>
    <x v="40"/>
  </r>
  <r>
    <s v="CUST1383"/>
    <s v="Saanvi Sarraf"/>
    <n v="50"/>
    <x v="1"/>
    <x v="4"/>
    <x v="2"/>
    <x v="1382"/>
    <x v="1382"/>
    <x v="511"/>
    <x v="467"/>
    <n v="172798"/>
    <x v="0"/>
    <x v="0"/>
    <x v="32"/>
  </r>
  <r>
    <s v="CUST1384"/>
    <s v="Stuvan Lad"/>
    <n v="58"/>
    <x v="0"/>
    <x v="3"/>
    <x v="2"/>
    <x v="1383"/>
    <x v="1383"/>
    <x v="437"/>
    <x v="127"/>
    <n v="169868"/>
    <x v="3"/>
    <x v="0"/>
    <x v="29"/>
  </r>
  <r>
    <s v="CUST1385"/>
    <s v="Piya Rastogi"/>
    <n v="26"/>
    <x v="0"/>
    <x v="1"/>
    <x v="3"/>
    <x v="1384"/>
    <x v="1384"/>
    <x v="455"/>
    <x v="358"/>
    <n v="97332"/>
    <x v="1"/>
    <x v="1"/>
    <x v="19"/>
  </r>
  <r>
    <s v="CUST1386"/>
    <s v="Sahil Dasgupta"/>
    <n v="27"/>
    <x v="1"/>
    <x v="7"/>
    <x v="2"/>
    <x v="1385"/>
    <x v="1385"/>
    <x v="234"/>
    <x v="468"/>
    <n v="200333"/>
    <x v="2"/>
    <x v="0"/>
    <x v="9"/>
  </r>
  <r>
    <s v="CUST1387"/>
    <s v="Riaan Venkatesh"/>
    <n v="23"/>
    <x v="0"/>
    <x v="6"/>
    <x v="3"/>
    <x v="1386"/>
    <x v="1386"/>
    <x v="84"/>
    <x v="257"/>
    <n v="220387"/>
    <x v="2"/>
    <x v="0"/>
    <x v="14"/>
  </r>
  <r>
    <s v="CUST1388"/>
    <s v="Yakshit Tiwari"/>
    <n v="56"/>
    <x v="1"/>
    <x v="6"/>
    <x v="3"/>
    <x v="1387"/>
    <x v="1387"/>
    <x v="398"/>
    <x v="61"/>
    <n v="159682"/>
    <x v="1"/>
    <x v="0"/>
    <x v="31"/>
  </r>
  <r>
    <s v="CUST1389"/>
    <s v="Arnav Mahajan"/>
    <n v="64"/>
    <x v="1"/>
    <x v="2"/>
    <x v="0"/>
    <x v="1388"/>
    <x v="1388"/>
    <x v="276"/>
    <x v="159"/>
    <n v="229270"/>
    <x v="3"/>
    <x v="0"/>
    <x v="16"/>
  </r>
  <r>
    <s v="CUST1390"/>
    <s v="Hrishita Dhar"/>
    <n v="32"/>
    <x v="0"/>
    <x v="7"/>
    <x v="2"/>
    <x v="1389"/>
    <x v="1389"/>
    <x v="519"/>
    <x v="441"/>
    <n v="213201"/>
    <x v="3"/>
    <x v="0"/>
    <x v="22"/>
  </r>
  <r>
    <s v="CUST1391"/>
    <s v="Zaina Kothari"/>
    <n v="33"/>
    <x v="0"/>
    <x v="5"/>
    <x v="0"/>
    <x v="1390"/>
    <x v="1390"/>
    <x v="93"/>
    <x v="446"/>
    <n v="33305"/>
    <x v="1"/>
    <x v="1"/>
    <x v="33"/>
  </r>
  <r>
    <s v="CUST1392"/>
    <s v="Darshit Deshpande"/>
    <n v="39"/>
    <x v="0"/>
    <x v="3"/>
    <x v="2"/>
    <x v="1391"/>
    <x v="1391"/>
    <x v="326"/>
    <x v="469"/>
    <n v="163892"/>
    <x v="0"/>
    <x v="0"/>
    <x v="40"/>
  </r>
  <r>
    <s v="CUST1393"/>
    <s v="Rohan Mann"/>
    <n v="57"/>
    <x v="1"/>
    <x v="4"/>
    <x v="2"/>
    <x v="1392"/>
    <x v="1392"/>
    <x v="264"/>
    <x v="41"/>
    <n v="135958"/>
    <x v="1"/>
    <x v="1"/>
    <x v="8"/>
  </r>
  <r>
    <s v="CUST1394"/>
    <s v="Jivika Sur"/>
    <n v="19"/>
    <x v="0"/>
    <x v="2"/>
    <x v="3"/>
    <x v="1393"/>
    <x v="1393"/>
    <x v="544"/>
    <x v="119"/>
    <n v="28678"/>
    <x v="3"/>
    <x v="0"/>
    <x v="39"/>
  </r>
  <r>
    <s v="CUST1395"/>
    <s v="Saksham Doctor"/>
    <n v="23"/>
    <x v="1"/>
    <x v="7"/>
    <x v="0"/>
    <x v="1394"/>
    <x v="1394"/>
    <x v="376"/>
    <x v="383"/>
    <n v="200343"/>
    <x v="3"/>
    <x v="1"/>
    <x v="28"/>
  </r>
  <r>
    <s v="CUST1396"/>
    <s v="Renee Kohli"/>
    <n v="38"/>
    <x v="1"/>
    <x v="6"/>
    <x v="2"/>
    <x v="1395"/>
    <x v="1395"/>
    <x v="308"/>
    <x v="52"/>
    <n v="119364"/>
    <x v="0"/>
    <x v="0"/>
    <x v="4"/>
  </r>
  <r>
    <s v="CUST1397"/>
    <s v="Shaan Wason"/>
    <n v="56"/>
    <x v="0"/>
    <x v="3"/>
    <x v="2"/>
    <x v="1396"/>
    <x v="1396"/>
    <x v="364"/>
    <x v="195"/>
    <n v="195149"/>
    <x v="1"/>
    <x v="0"/>
    <x v="6"/>
  </r>
  <r>
    <s v="CUST1398"/>
    <s v="Jayant Raman"/>
    <n v="38"/>
    <x v="0"/>
    <x v="7"/>
    <x v="3"/>
    <x v="1397"/>
    <x v="1397"/>
    <x v="432"/>
    <x v="205"/>
    <n v="119469"/>
    <x v="3"/>
    <x v="1"/>
    <x v="15"/>
  </r>
  <r>
    <s v="CUST1399"/>
    <s v="Zaina Tandon"/>
    <n v="40"/>
    <x v="1"/>
    <x v="0"/>
    <x v="0"/>
    <x v="1398"/>
    <x v="1398"/>
    <x v="379"/>
    <x v="223"/>
    <n v="186898"/>
    <x v="3"/>
    <x v="1"/>
    <x v="24"/>
  </r>
  <r>
    <s v="CUST1400"/>
    <s v="Jayan Divan"/>
    <n v="27"/>
    <x v="1"/>
    <x v="6"/>
    <x v="2"/>
    <x v="1399"/>
    <x v="1399"/>
    <x v="73"/>
    <x v="213"/>
    <n v="229112"/>
    <x v="2"/>
    <x v="0"/>
    <x v="1"/>
  </r>
  <r>
    <s v="CUST1401"/>
    <s v="Ayesha Chokshi"/>
    <n v="53"/>
    <x v="1"/>
    <x v="5"/>
    <x v="0"/>
    <x v="1400"/>
    <x v="1400"/>
    <x v="213"/>
    <x v="88"/>
    <n v="207246"/>
    <x v="3"/>
    <x v="0"/>
    <x v="13"/>
  </r>
  <r>
    <s v="CUST1402"/>
    <s v="Devansh Sachdeva"/>
    <n v="22"/>
    <x v="0"/>
    <x v="7"/>
    <x v="3"/>
    <x v="1401"/>
    <x v="1401"/>
    <x v="371"/>
    <x v="299"/>
    <n v="35915"/>
    <x v="1"/>
    <x v="0"/>
    <x v="21"/>
  </r>
  <r>
    <s v="CUST1403"/>
    <s v="Yashvi Sheth"/>
    <n v="53"/>
    <x v="0"/>
    <x v="2"/>
    <x v="1"/>
    <x v="1402"/>
    <x v="1402"/>
    <x v="379"/>
    <x v="336"/>
    <n v="144162"/>
    <x v="1"/>
    <x v="0"/>
    <x v="16"/>
  </r>
  <r>
    <s v="CUST1404"/>
    <s v="Rhea Acharya"/>
    <n v="27"/>
    <x v="1"/>
    <x v="0"/>
    <x v="3"/>
    <x v="1403"/>
    <x v="1403"/>
    <x v="267"/>
    <x v="404"/>
    <n v="196422"/>
    <x v="3"/>
    <x v="0"/>
    <x v="31"/>
  </r>
  <r>
    <s v="CUST1405"/>
    <s v="Dhruv Saxena"/>
    <n v="33"/>
    <x v="1"/>
    <x v="6"/>
    <x v="0"/>
    <x v="1404"/>
    <x v="1404"/>
    <x v="25"/>
    <x v="431"/>
    <n v="130047"/>
    <x v="2"/>
    <x v="0"/>
    <x v="2"/>
  </r>
  <r>
    <s v="CUST1406"/>
    <s v="Oorja Sahni"/>
    <n v="70"/>
    <x v="1"/>
    <x v="6"/>
    <x v="0"/>
    <x v="1405"/>
    <x v="1405"/>
    <x v="514"/>
    <x v="21"/>
    <n v="122284"/>
    <x v="3"/>
    <x v="1"/>
    <x v="18"/>
  </r>
  <r>
    <s v="CUST1407"/>
    <s v="Hansh Mall"/>
    <n v="68"/>
    <x v="0"/>
    <x v="7"/>
    <x v="0"/>
    <x v="1406"/>
    <x v="1406"/>
    <x v="482"/>
    <x v="10"/>
    <n v="80051"/>
    <x v="2"/>
    <x v="1"/>
    <x v="31"/>
  </r>
  <r>
    <s v="CUST1408"/>
    <s v="Tanya Bhatia"/>
    <n v="37"/>
    <x v="0"/>
    <x v="1"/>
    <x v="0"/>
    <x v="1407"/>
    <x v="1407"/>
    <x v="441"/>
    <x v="423"/>
    <n v="127791"/>
    <x v="1"/>
    <x v="0"/>
    <x v="34"/>
  </r>
  <r>
    <s v="CUST1409"/>
    <s v="Tushar Kapur"/>
    <n v="53"/>
    <x v="0"/>
    <x v="4"/>
    <x v="0"/>
    <x v="1408"/>
    <x v="1408"/>
    <x v="310"/>
    <x v="292"/>
    <n v="202820"/>
    <x v="1"/>
    <x v="0"/>
    <x v="0"/>
  </r>
  <r>
    <s v="CUST1410"/>
    <s v="Sumer Swaminathan"/>
    <n v="36"/>
    <x v="0"/>
    <x v="1"/>
    <x v="3"/>
    <x v="1409"/>
    <x v="1409"/>
    <x v="63"/>
    <x v="348"/>
    <n v="200047"/>
    <x v="3"/>
    <x v="1"/>
    <x v="11"/>
  </r>
  <r>
    <s v="CUST1411"/>
    <s v="Nakul Gala"/>
    <n v="55"/>
    <x v="0"/>
    <x v="2"/>
    <x v="0"/>
    <x v="1410"/>
    <x v="1410"/>
    <x v="115"/>
    <x v="194"/>
    <n v="102594"/>
    <x v="2"/>
    <x v="1"/>
    <x v="29"/>
  </r>
  <r>
    <s v="CUST1412"/>
    <s v="Riaan Deol"/>
    <n v="64"/>
    <x v="0"/>
    <x v="4"/>
    <x v="2"/>
    <x v="1411"/>
    <x v="1411"/>
    <x v="1"/>
    <x v="446"/>
    <n v="226405"/>
    <x v="3"/>
    <x v="1"/>
    <x v="12"/>
  </r>
  <r>
    <s v="CUST1413"/>
    <s v="Nayantara Datta"/>
    <n v="59"/>
    <x v="0"/>
    <x v="2"/>
    <x v="1"/>
    <x v="1412"/>
    <x v="1412"/>
    <x v="213"/>
    <x v="470"/>
    <n v="104677"/>
    <x v="1"/>
    <x v="1"/>
    <x v="20"/>
  </r>
  <r>
    <s v="CUST1414"/>
    <s v="Hrishita Kanda"/>
    <n v="24"/>
    <x v="0"/>
    <x v="7"/>
    <x v="2"/>
    <x v="1413"/>
    <x v="1413"/>
    <x v="545"/>
    <x v="378"/>
    <n v="141035"/>
    <x v="3"/>
    <x v="0"/>
    <x v="7"/>
  </r>
  <r>
    <s v="CUST1415"/>
    <s v="Adah Balan"/>
    <n v="69"/>
    <x v="0"/>
    <x v="1"/>
    <x v="1"/>
    <x v="1414"/>
    <x v="1414"/>
    <x v="39"/>
    <x v="291"/>
    <n v="27706"/>
    <x v="1"/>
    <x v="1"/>
    <x v="33"/>
  </r>
  <r>
    <s v="CUST1416"/>
    <s v="Shray Barad"/>
    <n v="58"/>
    <x v="1"/>
    <x v="7"/>
    <x v="2"/>
    <x v="1415"/>
    <x v="1415"/>
    <x v="512"/>
    <x v="250"/>
    <n v="204244"/>
    <x v="2"/>
    <x v="1"/>
    <x v="0"/>
  </r>
  <r>
    <s v="CUST1417"/>
    <s v="Umang Sarraf"/>
    <n v="57"/>
    <x v="0"/>
    <x v="6"/>
    <x v="0"/>
    <x v="1416"/>
    <x v="1416"/>
    <x v="456"/>
    <x v="69"/>
    <n v="227639"/>
    <x v="1"/>
    <x v="0"/>
    <x v="12"/>
  </r>
  <r>
    <s v="CUST1418"/>
    <s v="Madhup Subramanian"/>
    <n v="32"/>
    <x v="1"/>
    <x v="1"/>
    <x v="2"/>
    <x v="1417"/>
    <x v="1417"/>
    <x v="546"/>
    <x v="224"/>
    <n v="124071"/>
    <x v="3"/>
    <x v="0"/>
    <x v="29"/>
  </r>
  <r>
    <s v="CUST1419"/>
    <s v="Jayan Shankar"/>
    <n v="56"/>
    <x v="1"/>
    <x v="2"/>
    <x v="0"/>
    <x v="1418"/>
    <x v="1418"/>
    <x v="547"/>
    <x v="223"/>
    <n v="177801"/>
    <x v="1"/>
    <x v="0"/>
    <x v="27"/>
  </r>
  <r>
    <s v="CUST1420"/>
    <s v="Damini Borra"/>
    <n v="62"/>
    <x v="0"/>
    <x v="5"/>
    <x v="0"/>
    <x v="1419"/>
    <x v="1419"/>
    <x v="548"/>
    <x v="409"/>
    <n v="215563"/>
    <x v="1"/>
    <x v="0"/>
    <x v="21"/>
  </r>
  <r>
    <s v="CUST1421"/>
    <s v="Kabir Bora"/>
    <n v="49"/>
    <x v="0"/>
    <x v="3"/>
    <x v="1"/>
    <x v="1420"/>
    <x v="1420"/>
    <x v="549"/>
    <x v="376"/>
    <n v="123677"/>
    <x v="0"/>
    <x v="0"/>
    <x v="32"/>
  </r>
  <r>
    <s v="CUST1422"/>
    <s v="Sana Dasgupta"/>
    <n v="30"/>
    <x v="0"/>
    <x v="7"/>
    <x v="1"/>
    <x v="1421"/>
    <x v="1421"/>
    <x v="142"/>
    <x v="421"/>
    <n v="249331"/>
    <x v="3"/>
    <x v="1"/>
    <x v="21"/>
  </r>
  <r>
    <s v="CUST1423"/>
    <s v="Hazel Brar"/>
    <n v="22"/>
    <x v="1"/>
    <x v="5"/>
    <x v="0"/>
    <x v="1422"/>
    <x v="1422"/>
    <x v="121"/>
    <x v="310"/>
    <n v="103985"/>
    <x v="2"/>
    <x v="0"/>
    <x v="2"/>
  </r>
  <r>
    <s v="CUST1424"/>
    <s v="Kashvi Ahuja"/>
    <n v="45"/>
    <x v="0"/>
    <x v="1"/>
    <x v="3"/>
    <x v="1423"/>
    <x v="1423"/>
    <x v="189"/>
    <x v="61"/>
    <n v="169957"/>
    <x v="1"/>
    <x v="0"/>
    <x v="28"/>
  </r>
  <r>
    <s v="CUST1425"/>
    <s v="Dhruv Master"/>
    <n v="25"/>
    <x v="1"/>
    <x v="6"/>
    <x v="2"/>
    <x v="1424"/>
    <x v="1424"/>
    <x v="401"/>
    <x v="112"/>
    <n v="83465"/>
    <x v="2"/>
    <x v="0"/>
    <x v="28"/>
  </r>
  <r>
    <s v="CUST1426"/>
    <s v="Jayesh Kota"/>
    <n v="44"/>
    <x v="1"/>
    <x v="4"/>
    <x v="0"/>
    <x v="1425"/>
    <x v="1425"/>
    <x v="196"/>
    <x v="212"/>
    <n v="32090"/>
    <x v="0"/>
    <x v="1"/>
    <x v="23"/>
  </r>
  <r>
    <s v="CUST1427"/>
    <s v="Hazel Kade"/>
    <n v="54"/>
    <x v="0"/>
    <x v="4"/>
    <x v="3"/>
    <x v="1426"/>
    <x v="1426"/>
    <x v="126"/>
    <x v="311"/>
    <n v="172264"/>
    <x v="3"/>
    <x v="1"/>
    <x v="31"/>
  </r>
  <r>
    <s v="CUST1428"/>
    <s v="Manikya Saha"/>
    <n v="66"/>
    <x v="1"/>
    <x v="6"/>
    <x v="1"/>
    <x v="1427"/>
    <x v="1427"/>
    <x v="155"/>
    <x v="40"/>
    <n v="176722"/>
    <x v="0"/>
    <x v="1"/>
    <x v="26"/>
  </r>
  <r>
    <s v="CUST1429"/>
    <s v="Nakul Kar"/>
    <n v="27"/>
    <x v="0"/>
    <x v="6"/>
    <x v="0"/>
    <x v="1428"/>
    <x v="1428"/>
    <x v="65"/>
    <x v="18"/>
    <n v="160316"/>
    <x v="1"/>
    <x v="0"/>
    <x v="29"/>
  </r>
  <r>
    <s v="CUST1430"/>
    <s v="Vaibhav Master"/>
    <n v="29"/>
    <x v="1"/>
    <x v="0"/>
    <x v="0"/>
    <x v="1429"/>
    <x v="1429"/>
    <x v="0"/>
    <x v="121"/>
    <n v="69905"/>
    <x v="2"/>
    <x v="0"/>
    <x v="28"/>
  </r>
  <r>
    <s v="CUST1431"/>
    <s v="Adah Borra"/>
    <n v="53"/>
    <x v="0"/>
    <x v="4"/>
    <x v="2"/>
    <x v="1430"/>
    <x v="1430"/>
    <x v="381"/>
    <x v="64"/>
    <n v="143988"/>
    <x v="3"/>
    <x v="1"/>
    <x v="14"/>
  </r>
  <r>
    <s v="CUST1432"/>
    <s v="Priyansh Shanker"/>
    <n v="53"/>
    <x v="1"/>
    <x v="1"/>
    <x v="2"/>
    <x v="1431"/>
    <x v="1431"/>
    <x v="431"/>
    <x v="23"/>
    <n v="209897"/>
    <x v="0"/>
    <x v="1"/>
    <x v="5"/>
  </r>
  <r>
    <s v="CUST1433"/>
    <s v="Prisha Tata"/>
    <n v="70"/>
    <x v="1"/>
    <x v="5"/>
    <x v="0"/>
    <x v="1432"/>
    <x v="1432"/>
    <x v="329"/>
    <x v="133"/>
    <n v="20805"/>
    <x v="3"/>
    <x v="1"/>
    <x v="6"/>
  </r>
  <r>
    <s v="CUST1434"/>
    <s v="Yuvraj  Bhasin"/>
    <n v="55"/>
    <x v="1"/>
    <x v="0"/>
    <x v="3"/>
    <x v="1433"/>
    <x v="1433"/>
    <x v="203"/>
    <x v="49"/>
    <n v="220043"/>
    <x v="2"/>
    <x v="0"/>
    <x v="17"/>
  </r>
  <r>
    <s v="CUST1435"/>
    <s v="Divij Jhaveri"/>
    <n v="31"/>
    <x v="0"/>
    <x v="1"/>
    <x v="3"/>
    <x v="1434"/>
    <x v="1434"/>
    <x v="376"/>
    <x v="37"/>
    <n v="23914"/>
    <x v="1"/>
    <x v="0"/>
    <x v="30"/>
  </r>
  <r>
    <s v="CUST1436"/>
    <s v="Divit Kala"/>
    <n v="34"/>
    <x v="1"/>
    <x v="6"/>
    <x v="0"/>
    <x v="1435"/>
    <x v="1435"/>
    <x v="400"/>
    <x v="238"/>
    <n v="241068"/>
    <x v="0"/>
    <x v="0"/>
    <x v="13"/>
  </r>
  <r>
    <s v="CUST1437"/>
    <s v="Vivaan Reddy"/>
    <n v="48"/>
    <x v="1"/>
    <x v="2"/>
    <x v="0"/>
    <x v="1436"/>
    <x v="1436"/>
    <x v="69"/>
    <x v="50"/>
    <n v="217219"/>
    <x v="0"/>
    <x v="1"/>
    <x v="12"/>
  </r>
  <r>
    <s v="CUST1438"/>
    <s v="Dhanush Thaker"/>
    <n v="50"/>
    <x v="0"/>
    <x v="7"/>
    <x v="0"/>
    <x v="1437"/>
    <x v="1437"/>
    <x v="550"/>
    <x v="127"/>
    <n v="72968"/>
    <x v="2"/>
    <x v="0"/>
    <x v="38"/>
  </r>
  <r>
    <s v="CUST1439"/>
    <s v="Myra Gandhi"/>
    <n v="57"/>
    <x v="0"/>
    <x v="4"/>
    <x v="1"/>
    <x v="1438"/>
    <x v="1438"/>
    <x v="221"/>
    <x v="31"/>
    <n v="189944"/>
    <x v="3"/>
    <x v="0"/>
    <x v="8"/>
  </r>
  <r>
    <s v="CUST1440"/>
    <s v="Aniruddh Mand"/>
    <n v="55"/>
    <x v="1"/>
    <x v="6"/>
    <x v="0"/>
    <x v="1439"/>
    <x v="1439"/>
    <x v="551"/>
    <x v="3"/>
    <n v="136212"/>
    <x v="2"/>
    <x v="1"/>
    <x v="16"/>
  </r>
  <r>
    <s v="CUST1441"/>
    <s v="Vihaan Wable"/>
    <n v="46"/>
    <x v="1"/>
    <x v="0"/>
    <x v="2"/>
    <x v="1440"/>
    <x v="1440"/>
    <x v="398"/>
    <x v="38"/>
    <n v="176981"/>
    <x v="3"/>
    <x v="1"/>
    <x v="29"/>
  </r>
  <r>
    <s v="CUST1442"/>
    <s v="Reyansh Kari"/>
    <n v="19"/>
    <x v="1"/>
    <x v="0"/>
    <x v="0"/>
    <x v="1441"/>
    <x v="1441"/>
    <x v="67"/>
    <x v="404"/>
    <n v="165611"/>
    <x v="3"/>
    <x v="0"/>
    <x v="26"/>
  </r>
  <r>
    <s v="CUST1443"/>
    <s v="Myra Raman"/>
    <n v="67"/>
    <x v="0"/>
    <x v="1"/>
    <x v="2"/>
    <x v="1442"/>
    <x v="1442"/>
    <x v="233"/>
    <x v="346"/>
    <n v="223879"/>
    <x v="3"/>
    <x v="1"/>
    <x v="24"/>
  </r>
  <r>
    <s v="CUST1444"/>
    <s v="Misha Dash"/>
    <n v="32"/>
    <x v="0"/>
    <x v="1"/>
    <x v="3"/>
    <x v="1443"/>
    <x v="1443"/>
    <x v="392"/>
    <x v="385"/>
    <n v="43379"/>
    <x v="2"/>
    <x v="0"/>
    <x v="0"/>
  </r>
  <r>
    <s v="CUST1445"/>
    <s v="Yasmin Sabharwal"/>
    <n v="47"/>
    <x v="0"/>
    <x v="2"/>
    <x v="0"/>
    <x v="1444"/>
    <x v="1444"/>
    <x v="425"/>
    <x v="397"/>
    <n v="162786"/>
    <x v="3"/>
    <x v="0"/>
    <x v="35"/>
  </r>
  <r>
    <s v="CUST1446"/>
    <s v="Veer Ratta"/>
    <n v="42"/>
    <x v="1"/>
    <x v="4"/>
    <x v="3"/>
    <x v="1445"/>
    <x v="1445"/>
    <x v="441"/>
    <x v="265"/>
    <n v="49522"/>
    <x v="2"/>
    <x v="0"/>
    <x v="27"/>
  </r>
  <r>
    <s v="CUST1447"/>
    <s v="Riya Viswanathan"/>
    <n v="30"/>
    <x v="0"/>
    <x v="3"/>
    <x v="3"/>
    <x v="1446"/>
    <x v="1446"/>
    <x v="124"/>
    <x v="159"/>
    <n v="77213"/>
    <x v="0"/>
    <x v="0"/>
    <x v="4"/>
  </r>
  <r>
    <s v="CUST1448"/>
    <s v="Vardaniya Ganesan"/>
    <n v="43"/>
    <x v="0"/>
    <x v="1"/>
    <x v="1"/>
    <x v="1447"/>
    <x v="1447"/>
    <x v="108"/>
    <x v="431"/>
    <n v="97074"/>
    <x v="3"/>
    <x v="1"/>
    <x v="17"/>
  </r>
  <r>
    <s v="CUST1449"/>
    <s v="Aaryahi Vyas"/>
    <n v="24"/>
    <x v="1"/>
    <x v="3"/>
    <x v="2"/>
    <x v="1448"/>
    <x v="1448"/>
    <x v="210"/>
    <x v="373"/>
    <n v="124427"/>
    <x v="0"/>
    <x v="0"/>
    <x v="22"/>
  </r>
  <r>
    <s v="CUST1450"/>
    <s v="Taimur Mann"/>
    <n v="28"/>
    <x v="0"/>
    <x v="6"/>
    <x v="1"/>
    <x v="1449"/>
    <x v="1449"/>
    <x v="438"/>
    <x v="357"/>
    <n v="187526"/>
    <x v="3"/>
    <x v="1"/>
    <x v="31"/>
  </r>
  <r>
    <s v="CUST1451"/>
    <s v="Ivana Thaman"/>
    <n v="65"/>
    <x v="0"/>
    <x v="1"/>
    <x v="0"/>
    <x v="1450"/>
    <x v="1450"/>
    <x v="250"/>
    <x v="287"/>
    <n v="237513"/>
    <x v="3"/>
    <x v="1"/>
    <x v="8"/>
  </r>
  <r>
    <s v="CUST1452"/>
    <s v="Nirvi Randhawa"/>
    <n v="44"/>
    <x v="1"/>
    <x v="0"/>
    <x v="1"/>
    <x v="1451"/>
    <x v="1451"/>
    <x v="385"/>
    <x v="250"/>
    <n v="27643"/>
    <x v="0"/>
    <x v="1"/>
    <x v="8"/>
  </r>
  <r>
    <s v="CUST1453"/>
    <s v="Alisha Apte"/>
    <n v="48"/>
    <x v="0"/>
    <x v="7"/>
    <x v="3"/>
    <x v="1452"/>
    <x v="1452"/>
    <x v="216"/>
    <x v="350"/>
    <n v="203530"/>
    <x v="0"/>
    <x v="1"/>
    <x v="6"/>
  </r>
  <r>
    <s v="CUST1454"/>
    <s v="Kashvi Hayre"/>
    <n v="52"/>
    <x v="1"/>
    <x v="3"/>
    <x v="0"/>
    <x v="1453"/>
    <x v="1453"/>
    <x v="219"/>
    <x v="111"/>
    <n v="57651"/>
    <x v="2"/>
    <x v="1"/>
    <x v="26"/>
  </r>
  <r>
    <s v="CUST1455"/>
    <s v="Abram Dey"/>
    <n v="18"/>
    <x v="0"/>
    <x v="2"/>
    <x v="2"/>
    <x v="1454"/>
    <x v="1454"/>
    <x v="420"/>
    <x v="86"/>
    <n v="223761"/>
    <x v="0"/>
    <x v="0"/>
    <x v="17"/>
  </r>
  <r>
    <s v="CUST1456"/>
    <s v="Anahi Loke"/>
    <n v="38"/>
    <x v="1"/>
    <x v="1"/>
    <x v="1"/>
    <x v="1455"/>
    <x v="1455"/>
    <x v="29"/>
    <x v="102"/>
    <n v="168862"/>
    <x v="1"/>
    <x v="0"/>
    <x v="12"/>
  </r>
  <r>
    <s v="CUST1457"/>
    <s v="Prerak Balan"/>
    <n v="28"/>
    <x v="0"/>
    <x v="0"/>
    <x v="3"/>
    <x v="1456"/>
    <x v="1456"/>
    <x v="252"/>
    <x v="448"/>
    <n v="53259"/>
    <x v="1"/>
    <x v="0"/>
    <x v="20"/>
  </r>
  <r>
    <s v="CUST1458"/>
    <s v="Nakul Balay"/>
    <n v="37"/>
    <x v="0"/>
    <x v="6"/>
    <x v="3"/>
    <x v="1457"/>
    <x v="1457"/>
    <x v="258"/>
    <x v="56"/>
    <n v="178753"/>
    <x v="2"/>
    <x v="1"/>
    <x v="26"/>
  </r>
  <r>
    <s v="CUST1459"/>
    <s v="Indrajit Sarma"/>
    <n v="69"/>
    <x v="0"/>
    <x v="1"/>
    <x v="1"/>
    <x v="1458"/>
    <x v="1458"/>
    <x v="114"/>
    <x v="65"/>
    <n v="216915"/>
    <x v="2"/>
    <x v="1"/>
    <x v="18"/>
  </r>
  <r>
    <s v="CUST1460"/>
    <s v="Shamik Jaggi"/>
    <n v="48"/>
    <x v="1"/>
    <x v="6"/>
    <x v="1"/>
    <x v="1459"/>
    <x v="1459"/>
    <x v="417"/>
    <x v="205"/>
    <n v="71377"/>
    <x v="0"/>
    <x v="0"/>
    <x v="37"/>
  </r>
  <r>
    <s v="CUST1461"/>
    <s v="Azad Joshi"/>
    <n v="64"/>
    <x v="0"/>
    <x v="0"/>
    <x v="1"/>
    <x v="1460"/>
    <x v="1460"/>
    <x v="157"/>
    <x v="360"/>
    <n v="184578"/>
    <x v="3"/>
    <x v="0"/>
    <x v="16"/>
  </r>
  <r>
    <s v="CUST1462"/>
    <s v="Manikya Basak"/>
    <n v="38"/>
    <x v="1"/>
    <x v="7"/>
    <x v="1"/>
    <x v="1461"/>
    <x v="1461"/>
    <x v="31"/>
    <x v="353"/>
    <n v="155296"/>
    <x v="3"/>
    <x v="0"/>
    <x v="1"/>
  </r>
  <r>
    <s v="CUST1463"/>
    <s v="Saanvi Babu"/>
    <n v="41"/>
    <x v="1"/>
    <x v="5"/>
    <x v="1"/>
    <x v="1462"/>
    <x v="1462"/>
    <x v="552"/>
    <x v="137"/>
    <n v="33597"/>
    <x v="0"/>
    <x v="0"/>
    <x v="35"/>
  </r>
  <r>
    <s v="CUST1464"/>
    <s v="Samarth Soman"/>
    <n v="61"/>
    <x v="1"/>
    <x v="6"/>
    <x v="3"/>
    <x v="1463"/>
    <x v="1463"/>
    <x v="452"/>
    <x v="39"/>
    <n v="52722"/>
    <x v="3"/>
    <x v="1"/>
    <x v="8"/>
  </r>
  <r>
    <s v="CUST1465"/>
    <s v="Bhavin Lad"/>
    <n v="47"/>
    <x v="0"/>
    <x v="6"/>
    <x v="1"/>
    <x v="1464"/>
    <x v="1464"/>
    <x v="340"/>
    <x v="120"/>
    <n v="175607"/>
    <x v="3"/>
    <x v="0"/>
    <x v="1"/>
  </r>
  <r>
    <s v="CUST1466"/>
    <s v="Kavya Bava"/>
    <n v="52"/>
    <x v="1"/>
    <x v="3"/>
    <x v="3"/>
    <x v="1465"/>
    <x v="1465"/>
    <x v="201"/>
    <x v="237"/>
    <n v="170102"/>
    <x v="2"/>
    <x v="0"/>
    <x v="10"/>
  </r>
  <r>
    <s v="CUST1467"/>
    <s v="Yashvi Kadakia"/>
    <n v="39"/>
    <x v="0"/>
    <x v="5"/>
    <x v="3"/>
    <x v="1466"/>
    <x v="1466"/>
    <x v="238"/>
    <x v="13"/>
    <n v="121994"/>
    <x v="0"/>
    <x v="0"/>
    <x v="12"/>
  </r>
  <r>
    <s v="CUST1468"/>
    <s v="Zoya Balan"/>
    <n v="50"/>
    <x v="1"/>
    <x v="6"/>
    <x v="1"/>
    <x v="1467"/>
    <x v="1467"/>
    <x v="138"/>
    <x v="205"/>
    <n v="47842"/>
    <x v="1"/>
    <x v="0"/>
    <x v="34"/>
  </r>
  <r>
    <s v="CUST1469"/>
    <s v="Raghav Wagle"/>
    <n v="57"/>
    <x v="0"/>
    <x v="1"/>
    <x v="3"/>
    <x v="1468"/>
    <x v="1468"/>
    <x v="80"/>
    <x v="67"/>
    <n v="104001"/>
    <x v="0"/>
    <x v="0"/>
    <x v="13"/>
  </r>
  <r>
    <s v="CUST1470"/>
    <s v="Ishaan Karnik"/>
    <n v="25"/>
    <x v="1"/>
    <x v="1"/>
    <x v="3"/>
    <x v="1469"/>
    <x v="1469"/>
    <x v="1"/>
    <x v="195"/>
    <n v="146148"/>
    <x v="0"/>
    <x v="0"/>
    <x v="30"/>
  </r>
  <r>
    <s v="CUST1471"/>
    <s v="Hansh Verma"/>
    <n v="41"/>
    <x v="1"/>
    <x v="1"/>
    <x v="0"/>
    <x v="1470"/>
    <x v="1470"/>
    <x v="265"/>
    <x v="131"/>
    <n v="75098"/>
    <x v="3"/>
    <x v="0"/>
    <x v="23"/>
  </r>
  <r>
    <s v="CUST1472"/>
    <s v="Krish Deep"/>
    <n v="41"/>
    <x v="0"/>
    <x v="1"/>
    <x v="1"/>
    <x v="1471"/>
    <x v="1471"/>
    <x v="55"/>
    <x v="136"/>
    <n v="182366"/>
    <x v="2"/>
    <x v="1"/>
    <x v="40"/>
  </r>
  <r>
    <s v="CUST1473"/>
    <s v="Advik Raval"/>
    <n v="20"/>
    <x v="0"/>
    <x v="6"/>
    <x v="0"/>
    <x v="1472"/>
    <x v="1472"/>
    <x v="207"/>
    <x v="410"/>
    <n v="24209"/>
    <x v="0"/>
    <x v="1"/>
    <x v="7"/>
  </r>
  <r>
    <s v="CUST1474"/>
    <s v="Shamik Sama"/>
    <n v="29"/>
    <x v="1"/>
    <x v="7"/>
    <x v="2"/>
    <x v="1473"/>
    <x v="1473"/>
    <x v="360"/>
    <x v="410"/>
    <n v="139703"/>
    <x v="2"/>
    <x v="0"/>
    <x v="12"/>
  </r>
  <r>
    <s v="CUST1475"/>
    <s v="Zara Bera"/>
    <n v="35"/>
    <x v="1"/>
    <x v="0"/>
    <x v="2"/>
    <x v="1474"/>
    <x v="1474"/>
    <x v="110"/>
    <x v="102"/>
    <n v="114630"/>
    <x v="3"/>
    <x v="1"/>
    <x v="40"/>
  </r>
  <r>
    <s v="CUST1476"/>
    <s v="Inaaya  Gara"/>
    <n v="53"/>
    <x v="1"/>
    <x v="4"/>
    <x v="1"/>
    <x v="1475"/>
    <x v="1475"/>
    <x v="313"/>
    <x v="406"/>
    <n v="232100"/>
    <x v="1"/>
    <x v="1"/>
    <x v="34"/>
  </r>
  <r>
    <s v="CUST1477"/>
    <s v="Shalv Chaudry"/>
    <n v="28"/>
    <x v="1"/>
    <x v="5"/>
    <x v="1"/>
    <x v="1476"/>
    <x v="1476"/>
    <x v="423"/>
    <x v="426"/>
    <n v="56233"/>
    <x v="1"/>
    <x v="1"/>
    <x v="6"/>
  </r>
  <r>
    <s v="CUST1478"/>
    <s v="Nishith Sheth"/>
    <n v="68"/>
    <x v="0"/>
    <x v="2"/>
    <x v="1"/>
    <x v="1477"/>
    <x v="1477"/>
    <x v="131"/>
    <x v="228"/>
    <n v="206823"/>
    <x v="1"/>
    <x v="0"/>
    <x v="4"/>
  </r>
  <r>
    <s v="CUST1479"/>
    <s v="Mishti Mammen"/>
    <n v="26"/>
    <x v="0"/>
    <x v="1"/>
    <x v="0"/>
    <x v="1478"/>
    <x v="1478"/>
    <x v="330"/>
    <x v="235"/>
    <n v="243087"/>
    <x v="3"/>
    <x v="0"/>
    <x v="4"/>
  </r>
  <r>
    <s v="CUST1480"/>
    <s v="Aarav Shanker"/>
    <n v="59"/>
    <x v="1"/>
    <x v="2"/>
    <x v="2"/>
    <x v="1479"/>
    <x v="1479"/>
    <x v="501"/>
    <x v="267"/>
    <n v="249997"/>
    <x v="0"/>
    <x v="1"/>
    <x v="27"/>
  </r>
  <r>
    <s v="CUST1481"/>
    <s v="Neelofar Madan"/>
    <n v="39"/>
    <x v="0"/>
    <x v="6"/>
    <x v="3"/>
    <x v="1480"/>
    <x v="1480"/>
    <x v="394"/>
    <x v="182"/>
    <n v="145967"/>
    <x v="1"/>
    <x v="1"/>
    <x v="8"/>
  </r>
  <r>
    <s v="CUST1482"/>
    <s v="Navya Ramanathan"/>
    <n v="42"/>
    <x v="0"/>
    <x v="0"/>
    <x v="1"/>
    <x v="1481"/>
    <x v="1481"/>
    <x v="553"/>
    <x v="269"/>
    <n v="173730"/>
    <x v="2"/>
    <x v="1"/>
    <x v="38"/>
  </r>
  <r>
    <s v="CUST1483"/>
    <s v="Saanvi Randhawa"/>
    <n v="59"/>
    <x v="0"/>
    <x v="5"/>
    <x v="3"/>
    <x v="1482"/>
    <x v="1482"/>
    <x v="496"/>
    <x v="342"/>
    <n v="128338"/>
    <x v="3"/>
    <x v="0"/>
    <x v="24"/>
  </r>
  <r>
    <s v="CUST1484"/>
    <s v="Darshit Thakur"/>
    <n v="51"/>
    <x v="0"/>
    <x v="1"/>
    <x v="0"/>
    <x v="1483"/>
    <x v="1483"/>
    <x v="482"/>
    <x v="194"/>
    <n v="77262"/>
    <x v="3"/>
    <x v="0"/>
    <x v="30"/>
  </r>
  <r>
    <s v="CUST1485"/>
    <s v="Zaina Sami"/>
    <n v="56"/>
    <x v="1"/>
    <x v="7"/>
    <x v="0"/>
    <x v="1484"/>
    <x v="1484"/>
    <x v="315"/>
    <x v="362"/>
    <n v="57542"/>
    <x v="3"/>
    <x v="1"/>
    <x v="23"/>
  </r>
  <r>
    <s v="CUST1486"/>
    <s v="Akarsh Savant"/>
    <n v="34"/>
    <x v="0"/>
    <x v="4"/>
    <x v="1"/>
    <x v="1485"/>
    <x v="1485"/>
    <x v="445"/>
    <x v="272"/>
    <n v="148329"/>
    <x v="0"/>
    <x v="1"/>
    <x v="20"/>
  </r>
  <r>
    <s v="CUST1487"/>
    <s v="Renee Halder"/>
    <n v="29"/>
    <x v="1"/>
    <x v="6"/>
    <x v="1"/>
    <x v="1486"/>
    <x v="1486"/>
    <x v="209"/>
    <x v="425"/>
    <n v="226287"/>
    <x v="3"/>
    <x v="1"/>
    <x v="13"/>
  </r>
  <r>
    <s v="CUST1488"/>
    <s v="Lavanya Sastry"/>
    <n v="27"/>
    <x v="1"/>
    <x v="0"/>
    <x v="2"/>
    <x v="1487"/>
    <x v="1487"/>
    <x v="210"/>
    <x v="358"/>
    <n v="246161"/>
    <x v="0"/>
    <x v="1"/>
    <x v="23"/>
  </r>
  <r>
    <s v="CUST1489"/>
    <s v="Taran Shah"/>
    <n v="21"/>
    <x v="0"/>
    <x v="4"/>
    <x v="2"/>
    <x v="1488"/>
    <x v="1488"/>
    <x v="528"/>
    <x v="52"/>
    <n v="164015"/>
    <x v="3"/>
    <x v="1"/>
    <x v="22"/>
  </r>
  <r>
    <s v="CUST1490"/>
    <s v="Dhruv Saini"/>
    <n v="68"/>
    <x v="0"/>
    <x v="5"/>
    <x v="2"/>
    <x v="1489"/>
    <x v="1489"/>
    <x v="149"/>
    <x v="160"/>
    <n v="208008"/>
    <x v="3"/>
    <x v="0"/>
    <x v="31"/>
  </r>
  <r>
    <s v="CUST1491"/>
    <s v="Bhavin Bali"/>
    <n v="54"/>
    <x v="0"/>
    <x v="0"/>
    <x v="3"/>
    <x v="1490"/>
    <x v="1490"/>
    <x v="192"/>
    <x v="30"/>
    <n v="168602"/>
    <x v="0"/>
    <x v="1"/>
    <x v="31"/>
  </r>
  <r>
    <s v="CUST1492"/>
    <s v="Raunak Toor"/>
    <n v="33"/>
    <x v="0"/>
    <x v="1"/>
    <x v="3"/>
    <x v="1491"/>
    <x v="1491"/>
    <x v="554"/>
    <x v="278"/>
    <n v="165001"/>
    <x v="1"/>
    <x v="1"/>
    <x v="1"/>
  </r>
  <r>
    <s v="CUST1493"/>
    <s v="Darshit Sarna"/>
    <n v="44"/>
    <x v="1"/>
    <x v="6"/>
    <x v="2"/>
    <x v="1492"/>
    <x v="1492"/>
    <x v="87"/>
    <x v="6"/>
    <n v="52022"/>
    <x v="0"/>
    <x v="1"/>
    <x v="29"/>
  </r>
  <r>
    <s v="CUST1494"/>
    <s v="Vaibhav Vohra"/>
    <n v="34"/>
    <x v="0"/>
    <x v="3"/>
    <x v="1"/>
    <x v="1493"/>
    <x v="1493"/>
    <x v="253"/>
    <x v="240"/>
    <n v="246868"/>
    <x v="2"/>
    <x v="0"/>
    <x v="0"/>
  </r>
  <r>
    <s v="CUST1495"/>
    <s v="Aaryahi Iyer"/>
    <n v="29"/>
    <x v="1"/>
    <x v="4"/>
    <x v="0"/>
    <x v="1494"/>
    <x v="1494"/>
    <x v="555"/>
    <x v="292"/>
    <n v="169695"/>
    <x v="3"/>
    <x v="1"/>
    <x v="13"/>
  </r>
  <r>
    <s v="CUST1496"/>
    <s v="Kiara Doctor"/>
    <n v="63"/>
    <x v="0"/>
    <x v="3"/>
    <x v="2"/>
    <x v="1495"/>
    <x v="1495"/>
    <x v="183"/>
    <x v="13"/>
    <n v="234302"/>
    <x v="0"/>
    <x v="0"/>
    <x v="37"/>
  </r>
  <r>
    <s v="CUST1497"/>
    <s v="Zain Rastogi"/>
    <n v="26"/>
    <x v="0"/>
    <x v="7"/>
    <x v="3"/>
    <x v="1496"/>
    <x v="1496"/>
    <x v="59"/>
    <x v="239"/>
    <n v="227941"/>
    <x v="2"/>
    <x v="1"/>
    <x v="11"/>
  </r>
  <r>
    <s v="CUST1498"/>
    <s v="Neelofar Vaidya"/>
    <n v="51"/>
    <x v="1"/>
    <x v="5"/>
    <x v="2"/>
    <x v="1497"/>
    <x v="1497"/>
    <x v="498"/>
    <x v="162"/>
    <n v="151979"/>
    <x v="3"/>
    <x v="1"/>
    <x v="11"/>
  </r>
  <r>
    <s v="CUST1499"/>
    <s v="Neysa Dutt"/>
    <n v="21"/>
    <x v="1"/>
    <x v="1"/>
    <x v="1"/>
    <x v="1498"/>
    <x v="1498"/>
    <x v="214"/>
    <x v="233"/>
    <n v="229372"/>
    <x v="0"/>
    <x v="1"/>
    <x v="20"/>
  </r>
  <r>
    <s v="CUST1500"/>
    <s v="Nayantara Dara"/>
    <n v="25"/>
    <x v="0"/>
    <x v="7"/>
    <x v="2"/>
    <x v="1499"/>
    <x v="1499"/>
    <x v="396"/>
    <x v="417"/>
    <n v="140642"/>
    <x v="3"/>
    <x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atisfac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5">
  <location ref="Q2:R11" firstHeaderRow="1" firstDataRow="1" firstDataCol="1"/>
  <pivotFields count="14">
    <pivotField showAll="0"/>
    <pivotField showAll="0"/>
    <pivotField showAll="0"/>
    <pivotField showAll="0">
      <items count="3">
        <item x="1"/>
        <item x="0"/>
        <item t="default"/>
      </items>
    </pivotField>
    <pivotField axis="axisRow" showAll="0">
      <items count="9">
        <item x="4"/>
        <item x="3"/>
        <item x="5"/>
        <item x="2"/>
        <item x="6"/>
        <item x="0"/>
        <item x="7"/>
        <item x="1"/>
        <item t="default"/>
      </items>
    </pivotField>
    <pivotField showAll="0">
      <items count="5">
        <item x="2"/>
        <item x="1"/>
        <item x="3"/>
        <item x="0"/>
        <item t="default"/>
      </items>
    </pivotField>
    <pivotField showAll="0"/>
    <pivotField showAll="0"/>
    <pivotField showAll="0"/>
    <pivotField showAll="0"/>
    <pivotField showAll="0"/>
    <pivotField showAll="0">
      <items count="5">
        <item x="2"/>
        <item x="3"/>
        <item x="1"/>
        <item x="0"/>
        <item t="default"/>
      </items>
    </pivotField>
    <pivotField showAll="0"/>
    <pivotField dataField="1" showAll="0"/>
  </pivotFields>
  <rowFields count="1">
    <field x="4"/>
  </rowFields>
  <rowItems count="9">
    <i>
      <x/>
    </i>
    <i>
      <x v="1"/>
    </i>
    <i>
      <x v="2"/>
    </i>
    <i>
      <x v="3"/>
    </i>
    <i>
      <x v="4"/>
    </i>
    <i>
      <x v="5"/>
    </i>
    <i>
      <x v="6"/>
    </i>
    <i>
      <x v="7"/>
    </i>
    <i t="grand">
      <x/>
    </i>
  </rowItems>
  <colItems count="1">
    <i/>
  </colItems>
  <dataFields count="1">
    <dataField name="Average of Customer Satisfaction Rating" fld="13" subtotal="average" baseField="0" baseItem="0"/>
  </dataFields>
  <formats count="2">
    <format dxfId="30">
      <pivotArea outline="0" collapsedLevelsAreSubtotals="1" fieldPosition="0"/>
    </format>
    <format dxfId="29">
      <pivotArea outline="0" collapsedLevelsAreSubtotals="1" fieldPosition="0"/>
    </format>
  </formats>
  <chartFormats count="2">
    <chartFormat chart="52" format="1" series="1">
      <pivotArea type="data" outline="0" fieldPosition="0">
        <references count="1">
          <reference field="4294967294" count="1" selected="0">
            <x v="0"/>
          </reference>
        </references>
      </pivotArea>
    </chartFormat>
    <chartFormat chart="5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 id="{68FAC0A0-C204-4CCA-8DD6-B20B365479A1}">
            <x14:pivotAreas count="1">
              <pivotArea type="data" outline="0" collapsedLevelsAreSubtotals="1" fieldPosition="0">
                <references count="1">
                  <reference field="4294967294" count="1" selected="0">
                    <x v="0"/>
                  </reference>
                </references>
              </pivotArea>
            </x14:pivotAreas>
          </x14:conditionalFormat>
        </x14:conditionalFormats>
      </x14:pivotTableDefinition>
    </ext>
  </extLst>
</pivotTableDefinition>
</file>

<file path=xl/pivotTables/pivotTable2.xml><?xml version="1.0" encoding="utf-8"?>
<pivotTableDefinition xmlns="http://schemas.openxmlformats.org/spreadsheetml/2006/main" name="cit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D3:E12" firstHeaderRow="1" firstDataRow="1" firstDataCol="1"/>
  <pivotFields count="14">
    <pivotField showAll="0"/>
    <pivotField showAll="0"/>
    <pivotField showAll="0"/>
    <pivotField showAll="0">
      <items count="3">
        <item x="1"/>
        <item x="0"/>
        <item t="default"/>
      </items>
    </pivotField>
    <pivotField axis="axisRow" dataField="1" showAll="0">
      <items count="9">
        <item x="4"/>
        <item x="3"/>
        <item x="5"/>
        <item x="2"/>
        <item x="6"/>
        <item x="0"/>
        <item x="7"/>
        <item x="1"/>
        <item t="default"/>
      </items>
    </pivotField>
    <pivotField showAll="0">
      <items count="5">
        <item x="2"/>
        <item x="1"/>
        <item x="3"/>
        <item x="0"/>
        <item t="default"/>
      </items>
    </pivotField>
    <pivotField showAll="0">
      <items count="1501">
        <item x="436"/>
        <item x="1329"/>
        <item x="818"/>
        <item x="568"/>
        <item x="844"/>
        <item x="1227"/>
        <item x="11"/>
        <item x="523"/>
        <item x="469"/>
        <item x="1186"/>
        <item x="1478"/>
        <item x="470"/>
        <item x="1075"/>
        <item x="1116"/>
        <item x="112"/>
        <item x="813"/>
        <item x="399"/>
        <item x="969"/>
        <item x="782"/>
        <item x="1338"/>
        <item x="1118"/>
        <item x="86"/>
        <item x="901"/>
        <item x="737"/>
        <item x="1013"/>
        <item x="92"/>
        <item x="925"/>
        <item x="546"/>
        <item x="640"/>
        <item x="899"/>
        <item x="876"/>
        <item x="1372"/>
        <item x="744"/>
        <item x="787"/>
        <item x="709"/>
        <item x="1383"/>
        <item x="1157"/>
        <item x="417"/>
        <item x="1247"/>
        <item x="0"/>
        <item x="526"/>
        <item x="882"/>
        <item x="879"/>
        <item x="150"/>
        <item x="910"/>
        <item x="622"/>
        <item x="943"/>
        <item x="921"/>
        <item x="1279"/>
        <item x="1262"/>
        <item x="724"/>
        <item x="1354"/>
        <item x="669"/>
        <item x="1480"/>
        <item x="516"/>
        <item x="1127"/>
        <item x="479"/>
        <item x="1352"/>
        <item x="471"/>
        <item x="596"/>
        <item x="483"/>
        <item x="746"/>
        <item x="379"/>
        <item x="1400"/>
        <item x="670"/>
        <item x="923"/>
        <item x="683"/>
        <item x="1256"/>
        <item x="606"/>
        <item x="1360"/>
        <item x="578"/>
        <item x="380"/>
        <item x="734"/>
        <item x="672"/>
        <item x="1377"/>
        <item x="900"/>
        <item x="9"/>
        <item x="1060"/>
        <item x="271"/>
        <item x="300"/>
        <item x="306"/>
        <item x="304"/>
        <item x="816"/>
        <item x="1203"/>
        <item x="624"/>
        <item x="712"/>
        <item x="1052"/>
        <item x="253"/>
        <item x="699"/>
        <item x="951"/>
        <item x="766"/>
        <item x="1169"/>
        <item x="175"/>
        <item x="963"/>
        <item x="424"/>
        <item x="906"/>
        <item x="1452"/>
        <item x="1214"/>
        <item x="696"/>
        <item x="1385"/>
        <item x="1298"/>
        <item x="1185"/>
        <item x="681"/>
        <item x="1403"/>
        <item x="1335"/>
        <item x="1499"/>
        <item x="297"/>
        <item x="1017"/>
        <item x="1086"/>
        <item x="378"/>
        <item x="584"/>
        <item x="727"/>
        <item x="538"/>
        <item x="755"/>
        <item x="1392"/>
        <item x="894"/>
        <item x="521"/>
        <item x="222"/>
        <item x="289"/>
        <item x="1437"/>
        <item x="1356"/>
        <item x="801"/>
        <item x="667"/>
        <item x="949"/>
        <item x="505"/>
        <item x="1358"/>
        <item x="172"/>
        <item x="1210"/>
        <item x="763"/>
        <item x="1239"/>
        <item x="632"/>
        <item x="695"/>
        <item x="616"/>
        <item x="1453"/>
        <item x="675"/>
        <item x="466"/>
        <item x="105"/>
        <item x="1033"/>
        <item x="179"/>
        <item x="482"/>
        <item x="249"/>
        <item x="90"/>
        <item x="524"/>
        <item x="1449"/>
        <item x="758"/>
        <item x="885"/>
        <item x="1130"/>
        <item x="1164"/>
        <item x="529"/>
        <item x="539"/>
        <item x="301"/>
        <item x="430"/>
        <item x="65"/>
        <item x="1111"/>
        <item x="290"/>
        <item x="326"/>
        <item x="214"/>
        <item x="836"/>
        <item x="1378"/>
        <item x="954"/>
        <item x="285"/>
        <item x="1171"/>
        <item x="853"/>
        <item x="1207"/>
        <item x="1245"/>
        <item x="339"/>
        <item x="1143"/>
        <item x="309"/>
        <item x="1429"/>
        <item x="1423"/>
        <item x="553"/>
        <item x="166"/>
        <item x="416"/>
        <item x="1370"/>
        <item x="429"/>
        <item x="447"/>
        <item x="774"/>
        <item x="1248"/>
        <item x="464"/>
        <item x="111"/>
        <item x="230"/>
        <item x="814"/>
        <item x="1273"/>
        <item x="382"/>
        <item x="476"/>
        <item x="1325"/>
        <item x="576"/>
        <item x="983"/>
        <item x="785"/>
        <item x="531"/>
        <item x="981"/>
        <item x="1076"/>
        <item x="15"/>
        <item x="733"/>
        <item x="1411"/>
        <item x="1114"/>
        <item x="1057"/>
        <item x="558"/>
        <item x="798"/>
        <item x="1123"/>
        <item x="1474"/>
        <item x="1124"/>
        <item x="1345"/>
        <item x="1005"/>
        <item x="342"/>
        <item x="1353"/>
        <item x="1170"/>
        <item x="1391"/>
        <item x="453"/>
        <item x="702"/>
        <item x="1330"/>
        <item x="845"/>
        <item x="1218"/>
        <item x="272"/>
        <item x="210"/>
        <item x="251"/>
        <item x="1035"/>
        <item x="947"/>
        <item x="124"/>
        <item x="1311"/>
        <item x="502"/>
        <item x="209"/>
        <item x="579"/>
        <item x="117"/>
        <item x="971"/>
        <item x="131"/>
        <item x="837"/>
        <item x="1080"/>
        <item x="298"/>
        <item x="1082"/>
        <item x="628"/>
        <item x="368"/>
        <item x="205"/>
        <item x="1482"/>
        <item x="976"/>
        <item x="1249"/>
        <item x="1045"/>
        <item x="1430"/>
        <item x="1152"/>
        <item x="427"/>
        <item x="1176"/>
        <item x="542"/>
        <item x="655"/>
        <item x="1386"/>
        <item x="270"/>
        <item x="847"/>
        <item x="863"/>
        <item x="881"/>
        <item x="1136"/>
        <item x="2"/>
        <item x="181"/>
        <item x="825"/>
        <item x="663"/>
        <item x="1485"/>
        <item x="153"/>
        <item x="1272"/>
        <item x="1307"/>
        <item x="31"/>
        <item x="875"/>
        <item x="269"/>
        <item x="1466"/>
        <item x="751"/>
        <item x="1463"/>
        <item x="236"/>
        <item x="619"/>
        <item x="167"/>
        <item x="493"/>
        <item x="1305"/>
        <item x="1194"/>
        <item x="1494"/>
        <item x="652"/>
        <item x="750"/>
        <item x="912"/>
        <item x="1304"/>
        <item x="1053"/>
        <item x="677"/>
        <item x="1486"/>
        <item x="468"/>
        <item x="786"/>
        <item x="232"/>
        <item x="964"/>
        <item x="1125"/>
        <item x="581"/>
        <item x="1260"/>
        <item x="725"/>
        <item x="1088"/>
        <item x="35"/>
        <item x="89"/>
        <item x="1394"/>
        <item x="644"/>
        <item x="1283"/>
        <item x="711"/>
        <item x="1435"/>
        <item x="880"/>
        <item x="162"/>
        <item x="855"/>
        <item x="363"/>
        <item x="273"/>
        <item x="708"/>
        <item x="811"/>
        <item x="1209"/>
        <item x="636"/>
        <item x="345"/>
        <item x="1183"/>
        <item x="935"/>
        <item x="1112"/>
        <item x="656"/>
        <item x="961"/>
        <item x="830"/>
        <item x="1120"/>
        <item x="98"/>
        <item x="184"/>
        <item x="1242"/>
        <item x="292"/>
        <item x="760"/>
        <item x="1037"/>
        <item x="1038"/>
        <item x="7"/>
        <item x="1049"/>
        <item x="302"/>
        <item x="1425"/>
        <item x="20"/>
        <item x="255"/>
        <item x="418"/>
        <item x="1445"/>
        <item x="997"/>
        <item x="889"/>
        <item x="362"/>
        <item x="689"/>
        <item x="101"/>
        <item x="224"/>
        <item x="1436"/>
        <item x="107"/>
        <item x="1371"/>
        <item x="1062"/>
        <item x="248"/>
        <item x="459"/>
        <item x="1163"/>
        <item x="556"/>
        <item x="412"/>
        <item x="972"/>
        <item x="1431"/>
        <item x="1342"/>
        <item x="1382"/>
        <item x="1117"/>
        <item x="1243"/>
        <item x="370"/>
        <item x="957"/>
        <item x="649"/>
        <item x="1009"/>
        <item x="265"/>
        <item x="44"/>
        <item x="408"/>
        <item x="132"/>
        <item x="128"/>
        <item x="257"/>
        <item x="428"/>
        <item x="13"/>
        <item x="310"/>
        <item x="545"/>
        <item x="136"/>
        <item x="784"/>
        <item x="646"/>
        <item x="206"/>
        <item x="58"/>
        <item x="55"/>
        <item x="610"/>
        <item x="595"/>
        <item x="332"/>
        <item x="968"/>
        <item x="59"/>
        <item x="357"/>
        <item x="383"/>
        <item x="1493"/>
        <item x="678"/>
        <item x="604"/>
        <item x="789"/>
        <item x="772"/>
        <item x="642"/>
        <item x="147"/>
        <item x="617"/>
        <item x="590"/>
        <item x="1020"/>
        <item x="1442"/>
        <item x="903"/>
        <item x="438"/>
        <item x="14"/>
        <item x="286"/>
        <item x="994"/>
        <item x="100"/>
        <item x="432"/>
        <item x="1226"/>
        <item x="764"/>
        <item x="180"/>
        <item x="514"/>
        <item x="1401"/>
        <item x="294"/>
        <item x="216"/>
        <item x="1399"/>
        <item x="1373"/>
        <item x="571"/>
        <item x="108"/>
        <item x="988"/>
        <item x="193"/>
        <item x="800"/>
        <item x="452"/>
        <item x="820"/>
        <item x="940"/>
        <item x="49"/>
        <item x="742"/>
        <item x="1438"/>
        <item x="573"/>
        <item x="1440"/>
        <item x="990"/>
        <item x="78"/>
        <item x="410"/>
        <item x="665"/>
        <item x="1061"/>
        <item x="898"/>
        <item x="1241"/>
        <item x="1069"/>
        <item x="120"/>
        <item x="747"/>
        <item x="442"/>
        <item x="1003"/>
        <item x="975"/>
        <item x="1405"/>
        <item x="960"/>
        <item x="893"/>
        <item x="1109"/>
        <item x="284"/>
        <item x="1153"/>
        <item x="869"/>
        <item x="679"/>
        <item x="868"/>
        <item x="525"/>
        <item x="1261"/>
        <item x="929"/>
        <item x="359"/>
        <item x="759"/>
        <item x="119"/>
        <item x="154"/>
        <item x="264"/>
        <item x="1424"/>
        <item x="366"/>
        <item x="247"/>
        <item x="1019"/>
        <item x="1192"/>
        <item x="1034"/>
        <item x="738"/>
        <item x="1294"/>
        <item x="777"/>
        <item x="1332"/>
        <item x="256"/>
        <item x="116"/>
        <item x="1314"/>
        <item x="1359"/>
        <item x="1012"/>
        <item x="970"/>
        <item x="24"/>
        <item x="1297"/>
        <item x="437"/>
        <item x="268"/>
        <item x="1232"/>
        <item x="1065"/>
        <item x="794"/>
        <item x="871"/>
        <item x="626"/>
        <item x="351"/>
        <item x="487"/>
        <item x="441"/>
        <item x="1068"/>
        <item x="262"/>
        <item x="198"/>
        <item x="1233"/>
        <item x="371"/>
        <item x="84"/>
        <item x="1102"/>
        <item x="1100"/>
        <item x="1191"/>
        <item x="974"/>
        <item x="1495"/>
        <item x="1336"/>
        <item x="589"/>
        <item x="454"/>
        <item x="45"/>
        <item x="1339"/>
        <item x="1204"/>
        <item x="778"/>
        <item x="478"/>
        <item x="933"/>
        <item x="819"/>
        <item x="537"/>
        <item x="952"/>
        <item x="839"/>
        <item x="1454"/>
        <item x="1264"/>
        <item x="527"/>
        <item x="1457"/>
        <item x="1451"/>
        <item x="1222"/>
        <item x="1331"/>
        <item x="157"/>
        <item x="965"/>
        <item x="1208"/>
        <item x="1367"/>
        <item x="1398"/>
        <item x="980"/>
        <item x="126"/>
        <item x="865"/>
        <item x="703"/>
        <item x="1063"/>
        <item x="226"/>
        <item x="1162"/>
        <item x="3"/>
        <item x="152"/>
        <item x="1416"/>
        <item x="600"/>
        <item x="440"/>
        <item x="716"/>
        <item x="941"/>
        <item x="874"/>
        <item x="807"/>
        <item x="1097"/>
        <item x="1132"/>
        <item x="741"/>
        <item x="1160"/>
        <item x="1115"/>
        <item x="1433"/>
        <item x="768"/>
        <item x="404"/>
        <item x="1026"/>
        <item x="666"/>
        <item x="1289"/>
        <item x="1346"/>
        <item x="183"/>
        <item x="707"/>
        <item x="860"/>
        <item x="598"/>
        <item x="1496"/>
        <item x="549"/>
        <item x="145"/>
        <item x="504"/>
        <item x="902"/>
        <item x="840"/>
        <item x="985"/>
        <item x="625"/>
        <item x="852"/>
        <item x="1058"/>
        <item x="564"/>
        <item x="1310"/>
        <item x="446"/>
        <item x="1240"/>
        <item x="1101"/>
        <item x="753"/>
        <item x="1046"/>
        <item x="591"/>
        <item x="688"/>
        <item x="942"/>
        <item x="773"/>
        <item x="1023"/>
        <item x="1039"/>
        <item x="634"/>
        <item x="1139"/>
        <item x="519"/>
        <item x="1473"/>
        <item x="77"/>
        <item x="583"/>
        <item x="842"/>
        <item x="254"/>
        <item x="713"/>
        <item x="311"/>
        <item x="229"/>
        <item x="47"/>
        <item x="592"/>
        <item x="1350"/>
        <item x="1134"/>
        <item x="662"/>
        <item x="1219"/>
        <item x="419"/>
        <item x="520"/>
        <item x="932"/>
        <item x="220"/>
        <item x="1464"/>
        <item x="461"/>
        <item x="832"/>
        <item x="1470"/>
        <item x="1308"/>
        <item x="407"/>
        <item x="409"/>
        <item x="824"/>
        <item x="1455"/>
        <item x="647"/>
        <item x="494"/>
        <item x="1253"/>
        <item x="599"/>
        <item x="635"/>
        <item x="303"/>
        <item x="1315"/>
        <item x="499"/>
        <item x="1051"/>
        <item x="643"/>
        <item x="1259"/>
        <item x="144"/>
        <item x="795"/>
        <item x="391"/>
        <item x="194"/>
        <item x="828"/>
        <item x="195"/>
        <item x="862"/>
        <item x="1177"/>
        <item x="474"/>
        <item x="1198"/>
        <item x="330"/>
        <item x="322"/>
        <item x="544"/>
        <item x="705"/>
        <item x="168"/>
        <item x="276"/>
        <item x="1122"/>
        <item x="554"/>
        <item x="739"/>
        <item x="1271"/>
        <item x="551"/>
        <item x="106"/>
        <item x="1290"/>
        <item x="850"/>
        <item x="715"/>
        <item x="1000"/>
        <item x="637"/>
        <item x="143"/>
        <item x="817"/>
        <item x="1099"/>
        <item x="700"/>
        <item x="809"/>
        <item x="1327"/>
        <item x="48"/>
        <item x="1420"/>
        <item x="956"/>
        <item x="1270"/>
        <item x="113"/>
        <item x="911"/>
        <item x="500"/>
        <item x="212"/>
        <item x="1277"/>
        <item x="274"/>
        <item x="1316"/>
        <item x="317"/>
        <item x="620"/>
        <item x="1106"/>
        <item x="426"/>
        <item x="946"/>
        <item x="1149"/>
        <item x="958"/>
        <item x="141"/>
        <item x="1081"/>
        <item x="962"/>
        <item x="62"/>
        <item x="1379"/>
        <item x="1029"/>
        <item x="1074"/>
        <item x="973"/>
        <item x="235"/>
        <item x="1269"/>
        <item x="1104"/>
        <item x="682"/>
        <item x="1146"/>
        <item x="275"/>
        <item x="191"/>
        <item x="1230"/>
        <item x="1056"/>
        <item x="1446"/>
        <item x="984"/>
        <item x="66"/>
        <item x="364"/>
        <item x="346"/>
        <item x="1128"/>
        <item x="182"/>
        <item x="1188"/>
        <item x="1340"/>
        <item x="87"/>
        <item x="939"/>
        <item x="781"/>
        <item x="231"/>
        <item x="831"/>
        <item x="1384"/>
        <item x="673"/>
        <item x="496"/>
        <item x="263"/>
        <item x="1108"/>
        <item x="1025"/>
        <item x="158"/>
        <item x="706"/>
        <item x="1397"/>
        <item x="413"/>
        <item x="1225"/>
        <item x="1303"/>
        <item x="1448"/>
        <item x="489"/>
        <item x="386"/>
        <item x="261"/>
        <item x="133"/>
        <item x="80"/>
        <item x="1041"/>
        <item x="714"/>
        <item x="1275"/>
        <item x="121"/>
        <item x="207"/>
        <item x="1090"/>
        <item x="1221"/>
        <item x="22"/>
        <item x="728"/>
        <item x="151"/>
        <item x="1050"/>
        <item x="979"/>
        <item x="299"/>
        <item x="653"/>
        <item x="1129"/>
        <item x="56"/>
        <item x="861"/>
        <item x="57"/>
        <item x="756"/>
        <item x="528"/>
        <item x="1492"/>
        <item x="1036"/>
        <item x="102"/>
        <item x="995"/>
        <item x="1450"/>
        <item x="651"/>
        <item x="397"/>
        <item x="1235"/>
        <item x="1476"/>
        <item x="991"/>
        <item x="69"/>
        <item x="621"/>
        <item x="244"/>
        <item x="1202"/>
        <item x="176"/>
        <item x="890"/>
        <item x="843"/>
        <item x="1415"/>
        <item x="717"/>
        <item x="631"/>
        <item x="1402"/>
        <item x="74"/>
        <item x="1296"/>
        <item x="1309"/>
        <item x="723"/>
        <item x="691"/>
        <item x="754"/>
        <item x="1408"/>
        <item x="1083"/>
        <item x="1031"/>
        <item x="277"/>
        <item x="729"/>
        <item x="1"/>
        <item x="160"/>
        <item x="508"/>
        <item x="936"/>
        <item x="1323"/>
        <item x="1418"/>
        <item x="1497"/>
        <item x="1008"/>
        <item x="1213"/>
        <item x="992"/>
        <item x="999"/>
        <item x="664"/>
        <item x="1390"/>
        <item x="450"/>
        <item x="1447"/>
        <item x="740"/>
        <item x="506"/>
        <item x="601"/>
        <item x="1282"/>
        <item x="388"/>
        <item x="977"/>
        <item x="387"/>
        <item x="485"/>
        <item x="1234"/>
        <item x="484"/>
        <item x="177"/>
        <item x="1014"/>
        <item x="566"/>
        <item x="169"/>
        <item x="433"/>
        <item x="146"/>
        <item x="1417"/>
        <item x="109"/>
        <item x="103"/>
        <item x="204"/>
        <item x="61"/>
        <item x="196"/>
        <item x="829"/>
        <item x="462"/>
        <item x="355"/>
        <item x="1150"/>
        <item x="1094"/>
        <item x="1459"/>
        <item x="12"/>
        <item x="99"/>
        <item x="411"/>
        <item x="674"/>
        <item x="280"/>
        <item x="79"/>
        <item x="293"/>
        <item x="922"/>
        <item x="138"/>
        <item x="560"/>
        <item x="202"/>
        <item x="718"/>
        <item x="414"/>
        <item x="749"/>
        <item x="335"/>
        <item x="488"/>
        <item x="1491"/>
        <item x="1193"/>
        <item x="503"/>
        <item x="826"/>
        <item x="989"/>
        <item x="1206"/>
        <item x="27"/>
        <item x="200"/>
        <item x="660"/>
        <item x="1224"/>
        <item x="501"/>
        <item x="1135"/>
        <item x="1066"/>
        <item x="170"/>
        <item x="993"/>
        <item x="312"/>
        <item x="185"/>
        <item x="384"/>
        <item x="390"/>
        <item x="1467"/>
        <item x="1032"/>
        <item x="1344"/>
        <item x="8"/>
        <item x="1434"/>
        <item x="934"/>
        <item x="250"/>
        <item x="507"/>
        <item x="51"/>
        <item x="986"/>
        <item x="854"/>
        <item x="918"/>
        <item x="887"/>
        <item x="895"/>
        <item x="403"/>
        <item x="1246"/>
        <item x="597"/>
        <item x="1487"/>
        <item x="401"/>
        <item x="291"/>
        <item x="1001"/>
        <item x="361"/>
        <item x="1103"/>
        <item x="475"/>
        <item x="913"/>
        <item x="1396"/>
        <item x="1365"/>
        <item x="1461"/>
        <item x="498"/>
        <item x="1126"/>
        <item x="38"/>
        <item x="314"/>
        <item x="267"/>
        <item x="1089"/>
        <item x="904"/>
        <item x="1300"/>
        <item x="1414"/>
        <item x="173"/>
        <item x="1006"/>
        <item x="225"/>
        <item x="1380"/>
        <item x="319"/>
        <item x="671"/>
        <item x="775"/>
        <item x="1341"/>
        <item x="495"/>
        <item x="593"/>
        <item x="1211"/>
        <item x="1265"/>
        <item x="533"/>
        <item x="445"/>
        <item x="305"/>
        <item x="1018"/>
        <item x="586"/>
        <item x="701"/>
        <item x="215"/>
        <item x="680"/>
        <item x="928"/>
        <item x="1252"/>
        <item x="1469"/>
        <item x="788"/>
        <item x="1357"/>
        <item x="743"/>
        <item x="252"/>
        <item x="1267"/>
        <item x="374"/>
        <item x="142"/>
        <item x="587"/>
        <item x="1140"/>
        <item x="211"/>
        <item x="888"/>
        <item x="341"/>
        <item x="945"/>
        <item x="1231"/>
        <item x="1220"/>
        <item x="892"/>
        <item x="75"/>
        <item x="134"/>
        <item x="324"/>
        <item x="406"/>
        <item x="353"/>
        <item x="1348"/>
        <item x="1054"/>
        <item x="1015"/>
        <item x="110"/>
        <item x="1291"/>
        <item x="396"/>
        <item x="93"/>
        <item x="1071"/>
        <item x="1481"/>
        <item x="792"/>
        <item x="1197"/>
        <item x="67"/>
        <item x="415"/>
        <item x="884"/>
        <item x="588"/>
        <item x="421"/>
        <item x="63"/>
        <item x="748"/>
        <item x="203"/>
        <item x="757"/>
        <item x="316"/>
        <item x="39"/>
        <item x="435"/>
        <item x="815"/>
        <item x="1091"/>
        <item x="1317"/>
        <item x="54"/>
        <item x="937"/>
        <item x="1165"/>
        <item x="477"/>
        <item x="1409"/>
        <item x="1148"/>
        <item x="866"/>
        <item x="130"/>
        <item x="562"/>
        <item x="1027"/>
        <item x="1439"/>
        <item x="827"/>
        <item x="118"/>
        <item x="1258"/>
        <item x="425"/>
        <item x="1156"/>
        <item x="1098"/>
        <item x="1228"/>
        <item x="328"/>
        <item x="375"/>
        <item x="123"/>
        <item x="1040"/>
        <item x="178"/>
        <item x="550"/>
        <item x="1161"/>
        <item x="1280"/>
        <item x="321"/>
        <item x="1096"/>
        <item x="1266"/>
        <item x="857"/>
        <item x="761"/>
        <item x="431"/>
        <item x="455"/>
        <item x="1078"/>
        <item x="959"/>
        <item x="1250"/>
        <item x="607"/>
        <item x="223"/>
        <item x="88"/>
        <item x="585"/>
        <item x="1044"/>
        <item x="486"/>
        <item x="779"/>
        <item x="467"/>
        <item x="33"/>
        <item x="497"/>
        <item x="1387"/>
        <item x="998"/>
        <item x="1064"/>
        <item x="686"/>
        <item x="323"/>
        <item x="791"/>
        <item x="352"/>
        <item x="36"/>
        <item x="1460"/>
        <item x="37"/>
        <item x="1274"/>
        <item x="1363"/>
        <item x="448"/>
        <item x="1334"/>
        <item x="611"/>
        <item x="472"/>
        <item x="1395"/>
        <item x="687"/>
        <item x="515"/>
        <item x="770"/>
        <item x="405"/>
        <item x="358"/>
        <item x="189"/>
        <item x="394"/>
        <item x="1159"/>
        <item x="719"/>
        <item x="52"/>
        <item x="1201"/>
        <item x="561"/>
        <item x="480"/>
        <item x="129"/>
        <item x="1368"/>
        <item x="1133"/>
        <item x="1362"/>
        <item x="307"/>
        <item x="1167"/>
        <item x="395"/>
        <item x="1070"/>
        <item x="369"/>
        <item x="83"/>
        <item x="491"/>
        <item x="1055"/>
        <item x="41"/>
        <item x="1381"/>
        <item x="726"/>
        <item x="1178"/>
        <item x="1375"/>
        <item x="1251"/>
        <item x="534"/>
        <item x="541"/>
        <item x="208"/>
        <item x="82"/>
        <item x="233"/>
        <item x="72"/>
        <item x="930"/>
        <item x="1205"/>
        <item x="1462"/>
        <item x="548"/>
        <item x="685"/>
        <item x="522"/>
        <item x="1389"/>
        <item x="186"/>
        <item x="32"/>
        <item x="258"/>
        <item x="803"/>
        <item x="846"/>
        <item x="4"/>
        <item x="1002"/>
        <item x="1427"/>
        <item x="1154"/>
        <item x="1426"/>
        <item x="735"/>
        <item x="348"/>
        <item x="149"/>
        <item x="350"/>
        <item x="822"/>
        <item x="213"/>
        <item x="557"/>
        <item x="1238"/>
        <item x="657"/>
        <item x="1077"/>
        <item x="1286"/>
        <item x="966"/>
        <item x="1406"/>
        <item x="1184"/>
        <item x="171"/>
        <item x="1285"/>
        <item x="641"/>
        <item x="190"/>
        <item x="95"/>
        <item x="780"/>
        <item x="944"/>
        <item x="18"/>
        <item x="1489"/>
        <item x="905"/>
        <item x="1366"/>
        <item x="668"/>
        <item x="283"/>
        <item x="243"/>
        <item x="570"/>
        <item x="511"/>
        <item x="650"/>
        <item x="919"/>
        <item x="1121"/>
        <item x="349"/>
        <item x="745"/>
        <item x="1087"/>
        <item x="1137"/>
        <item x="1011"/>
        <item x="338"/>
        <item x="1268"/>
        <item x="872"/>
        <item x="512"/>
        <item x="603"/>
        <item x="91"/>
        <item x="1105"/>
        <item x="1351"/>
        <item x="1172"/>
        <item x="848"/>
        <item x="978"/>
        <item x="721"/>
        <item x="320"/>
        <item x="333"/>
        <item x="43"/>
        <item x="1079"/>
        <item x="140"/>
        <item x="46"/>
        <item x="1199"/>
        <item x="1468"/>
        <item x="1404"/>
        <item x="765"/>
        <item x="1374"/>
        <item x="1237"/>
        <item x="694"/>
        <item x="917"/>
        <item x="907"/>
        <item x="615"/>
        <item x="457"/>
        <item x="1236"/>
        <item x="580"/>
        <item x="1216"/>
        <item x="517"/>
        <item x="569"/>
        <item x="1393"/>
        <item x="187"/>
        <item x="381"/>
        <item x="805"/>
        <item x="891"/>
        <item x="1182"/>
        <item x="278"/>
        <item x="1110"/>
        <item x="1048"/>
        <item x="645"/>
        <item x="392"/>
        <item x="722"/>
        <item x="174"/>
        <item x="1215"/>
        <item x="259"/>
        <item x="1138"/>
        <item x="1388"/>
        <item x="608"/>
        <item x="443"/>
        <item x="1042"/>
        <item x="1324"/>
        <item x="444"/>
        <item x="877"/>
        <item x="883"/>
        <item x="1321"/>
        <item x="1347"/>
        <item x="458"/>
        <item x="1147"/>
        <item x="50"/>
        <item x="955"/>
        <item x="878"/>
        <item x="53"/>
        <item x="720"/>
        <item x="1021"/>
        <item x="423"/>
        <item x="1428"/>
        <item x="245"/>
        <item x="577"/>
        <item x="365"/>
        <item x="676"/>
        <item x="555"/>
        <item x="1144"/>
        <item x="661"/>
        <item x="1043"/>
        <item x="393"/>
        <item x="64"/>
        <item x="1004"/>
        <item x="1407"/>
        <item x="434"/>
        <item x="68"/>
        <item x="439"/>
        <item x="856"/>
        <item x="536"/>
        <item x="360"/>
        <item x="841"/>
        <item x="1441"/>
        <item x="288"/>
        <item x="398"/>
        <item x="334"/>
        <item x="115"/>
        <item x="42"/>
        <item x="1322"/>
        <item x="897"/>
        <item x="164"/>
        <item x="1326"/>
        <item x="1376"/>
        <item x="156"/>
        <item x="1483"/>
        <item x="239"/>
        <item x="565"/>
        <item x="1142"/>
        <item x="281"/>
        <item x="17"/>
        <item x="833"/>
        <item x="602"/>
        <item x="710"/>
        <item x="594"/>
        <item x="227"/>
        <item x="530"/>
        <item x="1320"/>
        <item x="762"/>
        <item x="240"/>
        <item x="490"/>
        <item x="354"/>
        <item x="851"/>
        <item x="1119"/>
        <item x="731"/>
        <item x="97"/>
        <item x="806"/>
        <item x="1479"/>
        <item x="104"/>
        <item x="1155"/>
        <item x="948"/>
        <item x="463"/>
        <item x="241"/>
        <item x="125"/>
        <item x="28"/>
        <item x="337"/>
        <item x="221"/>
        <item x="1255"/>
        <item x="76"/>
        <item x="567"/>
        <item x="1181"/>
        <item x="318"/>
        <item x="26"/>
        <item x="926"/>
        <item x="5"/>
        <item x="630"/>
        <item x="1257"/>
        <item x="543"/>
        <item x="1498"/>
        <item x="340"/>
        <item x="804"/>
        <item x="1281"/>
        <item x="1024"/>
        <item x="1190"/>
        <item x="736"/>
        <item x="1477"/>
        <item x="218"/>
        <item x="1141"/>
        <item x="165"/>
        <item x="336"/>
        <item x="81"/>
        <item x="1293"/>
        <item x="282"/>
        <item x="1217"/>
        <item x="1306"/>
        <item x="161"/>
        <item x="532"/>
        <item x="40"/>
        <item x="308"/>
        <item x="776"/>
        <item x="1229"/>
        <item x="692"/>
        <item x="858"/>
        <item x="769"/>
        <item x="1419"/>
        <item x="1319"/>
        <item x="260"/>
        <item x="70"/>
        <item x="797"/>
        <item x="234"/>
        <item x="295"/>
        <item x="460"/>
        <item x="377"/>
        <item x="867"/>
        <item x="1195"/>
        <item x="1343"/>
        <item x="1488"/>
        <item x="1196"/>
        <item x="859"/>
        <item x="85"/>
        <item x="1302"/>
        <item x="313"/>
        <item x="623"/>
        <item x="547"/>
        <item x="572"/>
        <item x="327"/>
        <item x="19"/>
        <item x="188"/>
        <item x="1028"/>
        <item x="1337"/>
        <item x="127"/>
        <item x="614"/>
        <item x="1484"/>
        <item x="613"/>
        <item x="914"/>
        <item x="1166"/>
        <item x="242"/>
        <item x="456"/>
        <item x="849"/>
        <item x="1189"/>
        <item x="246"/>
        <item x="1410"/>
        <item x="810"/>
        <item x="618"/>
        <item x="1254"/>
        <item x="1471"/>
        <item x="1313"/>
        <item x="373"/>
        <item x="331"/>
        <item x="1295"/>
        <item x="648"/>
        <item x="1364"/>
        <item x="1284"/>
        <item x="920"/>
        <item x="367"/>
        <item x="1456"/>
        <item x="1174"/>
        <item x="835"/>
        <item x="1093"/>
        <item x="870"/>
        <item x="344"/>
        <item x="465"/>
        <item x="1022"/>
        <item x="574"/>
        <item x="1432"/>
        <item x="473"/>
        <item x="1047"/>
        <item x="372"/>
        <item x="808"/>
        <item x="148"/>
        <item x="30"/>
        <item x="916"/>
        <item x="864"/>
        <item x="627"/>
        <item x="953"/>
        <item x="135"/>
        <item x="16"/>
        <item x="1030"/>
        <item x="752"/>
        <item x="197"/>
        <item x="638"/>
        <item x="915"/>
        <item x="1299"/>
        <item x="1490"/>
        <item x="509"/>
        <item x="730"/>
        <item x="1187"/>
        <item x="1085"/>
        <item x="1475"/>
        <item x="1458"/>
        <item x="1301"/>
        <item x="698"/>
        <item x="492"/>
        <item x="639"/>
        <item x="1328"/>
        <item x="1361"/>
        <item x="927"/>
        <item x="114"/>
        <item x="343"/>
        <item x="1151"/>
        <item x="451"/>
        <item x="950"/>
        <item x="376"/>
        <item x="518"/>
        <item x="575"/>
        <item x="1175"/>
        <item x="1016"/>
        <item x="1444"/>
        <item x="513"/>
        <item x="924"/>
        <item x="612"/>
        <item x="1095"/>
        <item x="540"/>
        <item x="823"/>
        <item x="802"/>
        <item x="325"/>
        <item x="159"/>
        <item x="1465"/>
        <item x="1073"/>
        <item x="1443"/>
        <item x="834"/>
        <item x="356"/>
        <item x="793"/>
        <item x="1422"/>
        <item x="23"/>
        <item x="821"/>
        <item x="1010"/>
        <item x="10"/>
        <item x="693"/>
        <item x="201"/>
        <item x="139"/>
        <item x="1168"/>
        <item x="771"/>
        <item x="217"/>
        <item x="29"/>
        <item x="449"/>
        <item x="552"/>
        <item x="732"/>
        <item x="1145"/>
        <item x="790"/>
        <item x="94"/>
        <item x="896"/>
        <item x="1244"/>
        <item x="1084"/>
        <item x="1158"/>
        <item x="1113"/>
        <item x="155"/>
        <item x="1369"/>
        <item x="385"/>
        <item x="1278"/>
        <item x="1180"/>
        <item x="1059"/>
        <item x="96"/>
        <item x="967"/>
        <item x="767"/>
        <item x="1092"/>
        <item x="909"/>
        <item x="658"/>
        <item x="1072"/>
        <item x="987"/>
        <item x="1318"/>
        <item x="996"/>
        <item x="873"/>
        <item x="1179"/>
        <item x="838"/>
        <item x="347"/>
        <item x="931"/>
        <item x="563"/>
        <item x="812"/>
        <item x="228"/>
        <item x="400"/>
        <item x="697"/>
        <item x="938"/>
        <item x="402"/>
        <item x="886"/>
        <item x="1312"/>
        <item x="1472"/>
        <item x="1413"/>
        <item x="266"/>
        <item x="329"/>
        <item x="654"/>
        <item x="1263"/>
        <item x="1355"/>
        <item x="1173"/>
        <item x="219"/>
        <item x="1292"/>
        <item x="690"/>
        <item x="510"/>
        <item x="287"/>
        <item x="1007"/>
        <item x="1349"/>
        <item x="609"/>
        <item x="73"/>
        <item x="1200"/>
        <item x="34"/>
        <item x="1223"/>
        <item x="296"/>
        <item x="1212"/>
        <item x="422"/>
        <item x="783"/>
        <item x="1107"/>
        <item x="799"/>
        <item x="420"/>
        <item x="908"/>
        <item x="559"/>
        <item x="704"/>
        <item x="60"/>
        <item x="796"/>
        <item x="137"/>
        <item x="199"/>
        <item x="1288"/>
        <item x="659"/>
        <item x="481"/>
        <item x="1287"/>
        <item x="1131"/>
        <item x="582"/>
        <item x="535"/>
        <item x="163"/>
        <item x="629"/>
        <item x="6"/>
        <item x="237"/>
        <item x="1276"/>
        <item x="982"/>
        <item x="1421"/>
        <item x="122"/>
        <item x="605"/>
        <item x="279"/>
        <item x="1067"/>
        <item x="315"/>
        <item x="192"/>
        <item x="238"/>
        <item x="21"/>
        <item x="25"/>
        <item x="389"/>
        <item x="71"/>
        <item x="1333"/>
        <item x="684"/>
        <item x="1412"/>
        <item x="633"/>
        <item t="default"/>
      </items>
    </pivotField>
    <pivotField showAll="0">
      <items count="1501">
        <item x="1245"/>
        <item x="1164"/>
        <item x="1287"/>
        <item x="1186"/>
        <item x="485"/>
        <item x="1175"/>
        <item x="1061"/>
        <item x="807"/>
        <item x="174"/>
        <item x="947"/>
        <item x="1482"/>
        <item x="1436"/>
        <item x="373"/>
        <item x="382"/>
        <item x="355"/>
        <item x="413"/>
        <item x="798"/>
        <item x="917"/>
        <item x="477"/>
        <item x="882"/>
        <item x="272"/>
        <item x="1082"/>
        <item x="906"/>
        <item x="570"/>
        <item x="528"/>
        <item x="1225"/>
        <item x="689"/>
        <item x="1388"/>
        <item x="1072"/>
        <item x="1105"/>
        <item x="747"/>
        <item x="677"/>
        <item x="445"/>
        <item x="1184"/>
        <item x="1113"/>
        <item x="1"/>
        <item x="734"/>
        <item x="663"/>
        <item x="1241"/>
        <item x="681"/>
        <item x="259"/>
        <item x="1204"/>
        <item x="1335"/>
        <item x="1106"/>
        <item x="849"/>
        <item x="1075"/>
        <item x="1487"/>
        <item x="288"/>
        <item x="436"/>
        <item x="311"/>
        <item x="806"/>
        <item x="690"/>
        <item x="139"/>
        <item x="969"/>
        <item x="321"/>
        <item x="1456"/>
        <item x="1412"/>
        <item x="1478"/>
        <item x="1273"/>
        <item x="1290"/>
        <item x="637"/>
        <item x="432"/>
        <item x="925"/>
        <item x="987"/>
        <item x="421"/>
        <item x="1004"/>
        <item x="702"/>
        <item x="28"/>
        <item x="544"/>
        <item x="35"/>
        <item x="791"/>
        <item x="768"/>
        <item x="4"/>
        <item x="1401"/>
        <item x="1146"/>
        <item x="1411"/>
        <item x="671"/>
        <item x="1266"/>
        <item x="1358"/>
        <item x="926"/>
        <item x="817"/>
        <item x="693"/>
        <item x="1022"/>
        <item x="699"/>
        <item x="738"/>
        <item x="1173"/>
        <item x="63"/>
        <item x="1043"/>
        <item x="551"/>
        <item x="84"/>
        <item x="310"/>
        <item x="727"/>
        <item x="541"/>
        <item x="507"/>
        <item x="294"/>
        <item x="452"/>
        <item x="1223"/>
        <item x="309"/>
        <item x="970"/>
        <item x="748"/>
        <item x="1249"/>
        <item x="1271"/>
        <item x="123"/>
        <item x="1122"/>
        <item x="1279"/>
        <item x="449"/>
        <item x="1018"/>
        <item x="1351"/>
        <item x="935"/>
        <item x="701"/>
        <item x="203"/>
        <item x="728"/>
        <item x="221"/>
        <item x="1494"/>
        <item x="357"/>
        <item x="1178"/>
        <item x="1276"/>
        <item x="40"/>
        <item x="1386"/>
        <item x="25"/>
        <item x="1418"/>
        <item x="707"/>
        <item x="792"/>
        <item x="1207"/>
        <item x="19"/>
        <item x="886"/>
        <item x="959"/>
        <item x="600"/>
        <item x="577"/>
        <item x="372"/>
        <item x="718"/>
        <item x="69"/>
        <item x="785"/>
        <item x="1131"/>
        <item x="585"/>
        <item x="967"/>
        <item x="929"/>
        <item x="763"/>
        <item x="359"/>
        <item x="991"/>
        <item x="214"/>
        <item x="1470"/>
        <item x="860"/>
        <item x="1299"/>
        <item x="412"/>
        <item x="678"/>
        <item x="607"/>
        <item x="497"/>
        <item x="97"/>
        <item x="1301"/>
        <item x="242"/>
        <item x="631"/>
        <item x="1162"/>
        <item x="1353"/>
        <item x="933"/>
        <item x="666"/>
        <item x="514"/>
        <item x="1070"/>
        <item x="679"/>
        <item x="1145"/>
        <item x="81"/>
        <item x="1090"/>
        <item x="1357"/>
        <item x="1040"/>
        <item x="385"/>
        <item x="1101"/>
        <item x="1020"/>
        <item x="237"/>
        <item x="1151"/>
        <item x="1256"/>
        <item x="901"/>
        <item x="391"/>
        <item x="107"/>
        <item x="1448"/>
        <item x="725"/>
        <item x="9"/>
        <item x="819"/>
        <item x="190"/>
        <item x="220"/>
        <item x="227"/>
        <item x="978"/>
        <item x="561"/>
        <item x="648"/>
        <item x="1032"/>
        <item x="805"/>
        <item x="980"/>
        <item x="349"/>
        <item x="1160"/>
        <item x="59"/>
        <item x="1410"/>
        <item x="251"/>
        <item x="582"/>
        <item x="664"/>
        <item x="1304"/>
        <item x="36"/>
        <item x="1333"/>
        <item x="100"/>
        <item x="499"/>
        <item x="576"/>
        <item x="113"/>
        <item x="621"/>
        <item x="443"/>
        <item x="1404"/>
        <item x="1195"/>
        <item x="982"/>
        <item x="343"/>
        <item x="188"/>
        <item x="458"/>
        <item x="588"/>
        <item x="240"/>
        <item x="1199"/>
        <item x="1379"/>
        <item x="479"/>
        <item x="802"/>
        <item x="735"/>
        <item x="1355"/>
        <item x="961"/>
        <item x="724"/>
        <item x="1284"/>
        <item x="1014"/>
        <item x="1098"/>
        <item x="1464"/>
        <item x="531"/>
        <item x="916"/>
        <item x="1078"/>
        <item x="793"/>
        <item x="157"/>
        <item x="1317"/>
        <item x="1121"/>
        <item x="1057"/>
        <item x="1058"/>
        <item x="847"/>
        <item x="924"/>
        <item x="645"/>
        <item x="275"/>
        <item x="402"/>
        <item x="1219"/>
        <item x="975"/>
        <item x="467"/>
        <item x="121"/>
        <item x="994"/>
        <item x="670"/>
        <item x="350"/>
        <item x="1258"/>
        <item x="396"/>
        <item x="1193"/>
        <item x="850"/>
        <item x="669"/>
        <item x="616"/>
        <item x="1255"/>
        <item x="1246"/>
        <item x="1003"/>
        <item x="705"/>
        <item x="1440"/>
        <item x="5"/>
        <item x="1331"/>
        <item x="1112"/>
        <item x="781"/>
        <item x="258"/>
        <item x="659"/>
        <item x="1469"/>
        <item x="320"/>
        <item x="1001"/>
        <item x="260"/>
        <item x="319"/>
        <item x="235"/>
        <item x="691"/>
        <item x="377"/>
        <item x="736"/>
        <item x="826"/>
        <item x="1147"/>
        <item x="231"/>
        <item x="1483"/>
        <item x="439"/>
        <item x="928"/>
        <item x="741"/>
        <item x="279"/>
        <item x="708"/>
        <item x="280"/>
        <item x="316"/>
        <item x="1166"/>
        <item x="305"/>
        <item x="284"/>
        <item x="1391"/>
        <item x="1408"/>
        <item x="34"/>
        <item x="783"/>
        <item x="788"/>
        <item x="839"/>
        <item x="809"/>
        <item x="1094"/>
        <item x="202"/>
        <item x="62"/>
        <item x="1181"/>
        <item x="937"/>
        <item x="293"/>
        <item x="762"/>
        <item x="1302"/>
        <item x="883"/>
        <item x="872"/>
        <item x="1352"/>
        <item x="414"/>
        <item x="1182"/>
        <item x="775"/>
        <item x="17"/>
        <item x="318"/>
        <item x="140"/>
        <item x="205"/>
        <item x="1363"/>
        <item x="1318"/>
        <item x="388"/>
        <item x="1026"/>
        <item x="498"/>
        <item x="955"/>
        <item x="117"/>
        <item x="870"/>
        <item x="869"/>
        <item x="1044"/>
        <item x="1371"/>
        <item x="483"/>
        <item x="1480"/>
        <item x="290"/>
        <item x="474"/>
        <item x="1095"/>
        <item x="853"/>
        <item x="1422"/>
        <item x="706"/>
        <item x="1490"/>
        <item x="1387"/>
        <item x="825"/>
        <item x="51"/>
        <item x="1038"/>
        <item x="649"/>
        <item x="351"/>
        <item x="393"/>
        <item x="1293"/>
        <item x="1342"/>
        <item x="796"/>
        <item x="618"/>
        <item x="15"/>
        <item x="170"/>
        <item x="64"/>
        <item x="905"/>
        <item x="599"/>
        <item x="1399"/>
        <item x="815"/>
        <item x="628"/>
        <item x="979"/>
        <item x="881"/>
        <item x="228"/>
        <item x="192"/>
        <item x="1372"/>
        <item x="538"/>
        <item x="1325"/>
        <item x="422"/>
        <item x="1491"/>
        <item x="680"/>
        <item x="913"/>
        <item x="1203"/>
        <item x="75"/>
        <item x="732"/>
        <item x="801"/>
        <item x="13"/>
        <item x="1074"/>
        <item x="1306"/>
        <item x="173"/>
        <item x="1142"/>
        <item x="1041"/>
        <item x="257"/>
        <item x="676"/>
        <item x="1321"/>
        <item x="1312"/>
        <item x="420"/>
        <item x="433"/>
        <item x="750"/>
        <item x="827"/>
        <item x="286"/>
        <item x="719"/>
        <item x="89"/>
        <item x="950"/>
        <item x="408"/>
        <item x="1055"/>
        <item x="611"/>
        <item x="137"/>
        <item x="326"/>
        <item x="1059"/>
        <item x="1322"/>
        <item x="558"/>
        <item x="1000"/>
        <item x="1050"/>
        <item x="568"/>
        <item x="8"/>
        <item x="1128"/>
        <item x="627"/>
        <item x="981"/>
        <item x="814"/>
        <item x="370"/>
        <item x="3"/>
        <item x="840"/>
        <item x="1319"/>
        <item x="24"/>
        <item x="1472"/>
        <item x="1435"/>
        <item x="158"/>
        <item x="914"/>
        <item x="216"/>
        <item x="323"/>
        <item x="1205"/>
        <item x="488"/>
        <item x="329"/>
        <item x="1305"/>
        <item x="27"/>
        <item x="411"/>
        <item x="717"/>
        <item x="737"/>
        <item x="61"/>
        <item x="88"/>
        <item x="119"/>
        <item x="0"/>
        <item x="1383"/>
        <item x="912"/>
        <item x="553"/>
        <item x="992"/>
        <item x="518"/>
        <item x="610"/>
        <item x="1177"/>
        <item x="543"/>
        <item x="838"/>
        <item x="263"/>
        <item x="780"/>
        <item x="958"/>
        <item x="198"/>
        <item x="533"/>
        <item x="1340"/>
        <item x="564"/>
        <item x="1231"/>
        <item x="557"/>
        <item x="1213"/>
        <item x="946"/>
        <item x="1370"/>
        <item x="83"/>
        <item x="171"/>
        <item x="1477"/>
        <item x="72"/>
        <item x="1080"/>
        <item x="1221"/>
        <item x="567"/>
        <item x="927"/>
        <item x="1285"/>
        <item x="655"/>
        <item x="1438"/>
        <item x="312"/>
        <item x="1419"/>
        <item x="426"/>
        <item x="646"/>
        <item x="1081"/>
        <item x="90"/>
        <item x="427"/>
        <item x="836"/>
        <item x="1056"/>
        <item x="1229"/>
        <item x="900"/>
        <item x="78"/>
        <item x="271"/>
        <item x="1092"/>
        <item x="194"/>
        <item x="752"/>
        <item x="112"/>
        <item x="578"/>
        <item x="246"/>
        <item x="87"/>
        <item x="589"/>
        <item x="197"/>
        <item x="660"/>
        <item x="94"/>
        <item x="451"/>
        <item x="1356"/>
        <item x="1222"/>
        <item x="891"/>
        <item x="1135"/>
        <item x="486"/>
        <item x="1148"/>
        <item x="608"/>
        <item x="1216"/>
        <item x="169"/>
        <item x="1310"/>
        <item x="1197"/>
        <item x="1035"/>
        <item x="776"/>
        <item x="1218"/>
        <item x="977"/>
        <item x="1033"/>
        <item x="842"/>
        <item x="1063"/>
        <item x="866"/>
        <item x="1210"/>
        <item x="333"/>
        <item x="895"/>
        <item x="686"/>
        <item x="341"/>
        <item x="597"/>
        <item x="244"/>
        <item x="444"/>
        <item x="1332"/>
        <item x="1344"/>
        <item x="328"/>
        <item x="795"/>
        <item x="180"/>
        <item x="492"/>
        <item x="1159"/>
        <item x="325"/>
        <item x="352"/>
        <item x="1196"/>
        <item x="336"/>
        <item x="519"/>
        <item x="1254"/>
        <item x="911"/>
        <item x="1337"/>
        <item x="1414"/>
        <item x="39"/>
        <item x="566"/>
        <item x="44"/>
        <item x="1326"/>
        <item x="1377"/>
        <item x="201"/>
        <item x="1476"/>
        <item x="91"/>
        <item x="116"/>
        <item x="1465"/>
        <item x="774"/>
        <item x="281"/>
        <item x="1084"/>
        <item x="315"/>
        <item x="1320"/>
        <item x="1417"/>
        <item x="400"/>
        <item x="590"/>
        <item x="1214"/>
        <item x="511"/>
        <item x="332"/>
        <item x="265"/>
        <item x="53"/>
        <item x="425"/>
        <item x="998"/>
        <item x="124"/>
        <item x="1486"/>
        <item x="1190"/>
        <item x="56"/>
        <item x="223"/>
        <item x="424"/>
        <item x="766"/>
        <item x="1227"/>
        <item x="304"/>
        <item x="1338"/>
        <item x="1149"/>
        <item x="1398"/>
        <item x="1068"/>
        <item x="861"/>
        <item x="348"/>
        <item x="1189"/>
        <item x="733"/>
        <item x="703"/>
        <item x="1406"/>
        <item x="1048"/>
        <item x="1009"/>
        <item x="873"/>
        <item x="1015"/>
        <item x="556"/>
        <item x="1257"/>
        <item x="354"/>
        <item x="109"/>
        <item x="448"/>
        <item x="715"/>
        <item x="698"/>
        <item x="846"/>
        <item x="593"/>
        <item x="711"/>
        <item x="378"/>
        <item x="37"/>
        <item x="218"/>
        <item x="322"/>
        <item x="1230"/>
        <item x="1099"/>
        <item x="1008"/>
        <item x="32"/>
        <item x="145"/>
        <item x="261"/>
        <item x="1292"/>
        <item x="944"/>
        <item x="1023"/>
        <item x="1261"/>
        <item x="297"/>
        <item x="277"/>
        <item x="1240"/>
        <item x="1244"/>
        <item x="525"/>
        <item x="936"/>
        <item x="1006"/>
        <item x="1467"/>
        <item x="368"/>
        <item x="1192"/>
        <item x="361"/>
        <item x="442"/>
        <item x="478"/>
        <item x="1442"/>
        <item x="1150"/>
        <item x="146"/>
        <item x="1027"/>
        <item x="403"/>
        <item x="33"/>
        <item x="104"/>
        <item x="634"/>
        <item x="1191"/>
        <item x="863"/>
        <item x="619"/>
        <item x="20"/>
        <item x="932"/>
        <item x="1120"/>
        <item x="720"/>
        <item x="73"/>
        <item x="587"/>
        <item x="406"/>
        <item x="1297"/>
        <item x="816"/>
        <item x="459"/>
        <item x="338"/>
        <item x="808"/>
        <item x="151"/>
        <item x="375"/>
        <item x="204"/>
        <item x="1323"/>
        <item x="342"/>
        <item x="168"/>
        <item x="687"/>
        <item x="494"/>
        <item x="456"/>
        <item x="339"/>
        <item x="1238"/>
        <item x="657"/>
        <item x="195"/>
        <item x="166"/>
        <item x="136"/>
        <item x="668"/>
        <item x="1136"/>
        <item x="1119"/>
        <item x="571"/>
        <item x="418"/>
        <item x="313"/>
        <item x="931"/>
        <item x="1445"/>
        <item x="605"/>
        <item x="2"/>
        <item x="134"/>
        <item x="1303"/>
        <item x="1053"/>
        <item x="852"/>
        <item x="1052"/>
        <item x="1267"/>
        <item x="956"/>
        <item x="800"/>
        <item x="892"/>
        <item x="317"/>
        <item x="111"/>
        <item x="858"/>
        <item x="161"/>
        <item x="964"/>
        <item x="105"/>
        <item x="1049"/>
        <item x="875"/>
        <item x="71"/>
        <item x="598"/>
        <item x="283"/>
        <item x="1369"/>
        <item x="131"/>
        <item x="988"/>
        <item x="609"/>
        <item x="331"/>
        <item x="487"/>
        <item x="751"/>
        <item x="74"/>
        <item x="1368"/>
        <item x="128"/>
        <item x="148"/>
        <item x="636"/>
        <item x="147"/>
        <item x="1367"/>
        <item x="334"/>
        <item x="1157"/>
        <item x="513"/>
        <item x="1341"/>
        <item x="1226"/>
        <item x="1380"/>
        <item x="673"/>
        <item x="503"/>
        <item x="447"/>
        <item x="862"/>
        <item x="103"/>
        <item x="540"/>
        <item x="416"/>
        <item x="79"/>
        <item x="1252"/>
        <item x="1455"/>
        <item x="583"/>
        <item x="236"/>
        <item x="308"/>
        <item x="245"/>
        <item x="591"/>
        <item x="845"/>
        <item x="463"/>
        <item x="1460"/>
        <item x="1330"/>
        <item x="1046"/>
        <item x="1444"/>
        <item x="1089"/>
        <item x="864"/>
        <item x="476"/>
        <item x="45"/>
        <item x="269"/>
        <item x="1253"/>
        <item x="506"/>
        <item x="199"/>
        <item x="1400"/>
        <item x="899"/>
        <item x="942"/>
        <item x="307"/>
        <item x="721"/>
        <item x="295"/>
        <item x="300"/>
        <item x="423"/>
        <item x="772"/>
        <item x="1396"/>
        <item x="856"/>
        <item x="638"/>
        <item x="398"/>
        <item x="1275"/>
        <item x="811"/>
        <item x="575"/>
        <item x="1100"/>
        <item x="813"/>
        <item x="672"/>
        <item x="340"/>
        <item x="384"/>
        <item x="786"/>
        <item x="555"/>
        <item x="405"/>
        <item x="726"/>
        <item x="784"/>
        <item x="1206"/>
        <item x="460"/>
        <item x="1066"/>
        <item x="1449"/>
        <item x="938"/>
        <item x="569"/>
        <item x="1461"/>
        <item x="885"/>
        <item x="1161"/>
        <item x="285"/>
        <item x="954"/>
        <item x="1165"/>
        <item x="76"/>
        <item x="897"/>
        <item x="1220"/>
        <item x="225"/>
        <item x="948"/>
        <item x="930"/>
        <item x="823"/>
        <item x="267"/>
        <item x="1314"/>
        <item x="1397"/>
        <item x="560"/>
        <item x="878"/>
        <item x="989"/>
        <item x="1278"/>
        <item x="1093"/>
        <item x="973"/>
        <item x="256"/>
        <item x="1077"/>
        <item x="890"/>
        <item x="144"/>
        <item x="647"/>
        <item x="639"/>
        <item x="804"/>
        <item x="907"/>
        <item x="1316"/>
        <item x="658"/>
        <item x="415"/>
        <item x="376"/>
        <item x="1300"/>
        <item x="1185"/>
        <item x="1118"/>
        <item x="164"/>
        <item x="790"/>
        <item x="1013"/>
        <item x="923"/>
        <item x="1421"/>
        <item x="1134"/>
        <item x="429"/>
        <item x="1083"/>
        <item x="122"/>
        <item x="60"/>
        <item x="580"/>
        <item x="1473"/>
        <item x="380"/>
        <item x="626"/>
        <item x="1198"/>
        <item x="1110"/>
        <item x="1111"/>
        <item x="154"/>
        <item x="559"/>
        <item x="843"/>
        <item x="344"/>
        <item x="524"/>
        <item x="358"/>
        <item x="888"/>
        <item x="92"/>
        <item x="1381"/>
        <item x="186"/>
        <item x="1308"/>
        <item x="454"/>
        <item x="874"/>
        <item x="419"/>
        <item x="189"/>
        <item x="1235"/>
        <item x="859"/>
        <item x="770"/>
        <item x="1129"/>
        <item x="434"/>
        <item x="797"/>
        <item x="877"/>
        <item x="366"/>
        <item x="162"/>
        <item x="1086"/>
        <item x="1375"/>
        <item x="150"/>
        <item x="1156"/>
        <item x="1424"/>
        <item x="1180"/>
        <item x="496"/>
        <item x="480"/>
        <item x="1045"/>
        <item x="21"/>
        <item x="787"/>
        <item x="193"/>
        <item x="404"/>
        <item x="163"/>
        <item x="545"/>
        <item x="1024"/>
        <item x="629"/>
        <item x="1171"/>
        <item x="854"/>
        <item x="939"/>
        <item x="455"/>
        <item x="441"/>
        <item x="208"/>
        <item x="1497"/>
        <item x="23"/>
        <item x="239"/>
        <item x="129"/>
        <item x="1272"/>
        <item x="1291"/>
        <item x="1067"/>
        <item x="430"/>
        <item x="1172"/>
        <item x="1064"/>
        <item x="521"/>
        <item x="695"/>
        <item x="1451"/>
        <item x="1060"/>
        <item x="1466"/>
        <item x="1382"/>
        <item x="1007"/>
        <item x="1224"/>
        <item x="909"/>
        <item x="921"/>
        <item x="1036"/>
        <item x="1428"/>
        <item x="1495"/>
        <item x="1294"/>
        <item x="363"/>
        <item x="714"/>
        <item x="390"/>
        <item x="184"/>
        <item x="562"/>
        <item x="716"/>
        <item x="594"/>
        <item x="200"/>
        <item x="820"/>
        <item x="1274"/>
        <item x="1376"/>
        <item x="1030"/>
        <item x="70"/>
        <item x="298"/>
        <item x="1039"/>
        <item x="957"/>
        <item x="1281"/>
        <item x="1167"/>
        <item x="500"/>
        <item x="330"/>
        <item x="1010"/>
        <item x="165"/>
        <item x="66"/>
        <item x="68"/>
        <item x="510"/>
        <item x="534"/>
        <item x="135"/>
        <item x="1138"/>
        <item x="1176"/>
        <item x="1140"/>
        <item x="834"/>
        <item x="386"/>
        <item x="1132"/>
        <item x="604"/>
        <item x="688"/>
        <item x="833"/>
        <item x="1264"/>
        <item x="865"/>
        <item x="765"/>
        <item x="1307"/>
        <item x="753"/>
        <item x="887"/>
        <item x="1431"/>
        <item x="1390"/>
        <item x="832"/>
        <item x="299"/>
        <item x="250"/>
        <item x="472"/>
        <item x="995"/>
        <item x="529"/>
        <item x="828"/>
        <item x="457"/>
        <item x="532"/>
        <item x="548"/>
        <item x="574"/>
        <item x="211"/>
        <item x="101"/>
        <item x="1296"/>
        <item x="346"/>
        <item x="364"/>
        <item x="971"/>
        <item x="127"/>
        <item x="115"/>
        <item x="821"/>
        <item x="549"/>
        <item x="516"/>
        <item x="85"/>
        <item x="700"/>
        <item x="314"/>
        <item x="353"/>
        <item x="1202"/>
        <item x="915"/>
        <item x="264"/>
        <item x="475"/>
        <item x="1109"/>
        <item x="1427"/>
        <item x="742"/>
        <item x="1019"/>
        <item x="696"/>
        <item x="1423"/>
        <item x="410"/>
        <item x="481"/>
        <item x="547"/>
        <item x="1439"/>
        <item x="1288"/>
        <item x="167"/>
        <item x="830"/>
        <item x="1282"/>
        <item x="213"/>
        <item x="1133"/>
        <item x="207"/>
        <item x="292"/>
        <item x="884"/>
        <item x="6"/>
        <item x="1430"/>
        <item x="704"/>
        <item x="615"/>
        <item x="276"/>
        <item x="898"/>
        <item x="1183"/>
        <item x="880"/>
        <item x="1492"/>
        <item x="120"/>
        <item x="1425"/>
        <item x="1484"/>
        <item x="233"/>
        <item x="520"/>
        <item x="273"/>
        <item x="635"/>
        <item x="517"/>
        <item x="595"/>
        <item x="985"/>
        <item x="82"/>
        <item x="50"/>
        <item x="1012"/>
        <item x="661"/>
        <item x="968"/>
        <item x="960"/>
        <item x="1268"/>
        <item x="38"/>
        <item x="837"/>
        <item x="1123"/>
        <item x="894"/>
        <item x="643"/>
        <item x="596"/>
        <item x="1373"/>
        <item x="1339"/>
        <item x="723"/>
        <item x="1125"/>
        <item x="818"/>
        <item x="710"/>
        <item x="67"/>
        <item x="1384"/>
        <item x="910"/>
        <item x="58"/>
        <item x="42"/>
        <item x="1437"/>
        <item x="1374"/>
        <item x="1168"/>
        <item x="47"/>
        <item x="546"/>
        <item x="179"/>
        <item x="1025"/>
        <item x="230"/>
        <item x="601"/>
        <item x="1334"/>
        <item x="191"/>
        <item x="185"/>
        <item x="642"/>
        <item x="581"/>
        <item x="110"/>
        <item x="399"/>
        <item x="1065"/>
        <item x="1265"/>
        <item x="489"/>
        <item x="757"/>
        <item x="1433"/>
        <item x="667"/>
        <item x="709"/>
        <item x="212"/>
        <item x="248"/>
        <item x="10"/>
        <item x="1034"/>
        <item x="1366"/>
        <item x="824"/>
        <item x="729"/>
        <item x="156"/>
        <item x="536"/>
        <item x="270"/>
        <item x="181"/>
        <item x="617"/>
        <item x="903"/>
        <item x="756"/>
        <item x="1087"/>
        <item x="143"/>
        <item x="29"/>
        <item x="232"/>
        <item x="1458"/>
        <item x="1403"/>
        <item x="206"/>
        <item x="951"/>
        <item x="722"/>
        <item x="848"/>
        <item x="247"/>
        <item x="771"/>
        <item x="1212"/>
        <item x="1328"/>
        <item x="149"/>
        <item x="1262"/>
        <item x="1361"/>
        <item x="1269"/>
        <item x="1117"/>
        <item x="1037"/>
        <item x="1155"/>
        <item x="953"/>
        <item x="26"/>
        <item x="371"/>
        <item x="229"/>
        <item x="1364"/>
        <item x="466"/>
        <item x="799"/>
        <item x="1270"/>
        <item x="1062"/>
        <item x="810"/>
        <item x="450"/>
        <item x="491"/>
        <item x="1029"/>
        <item x="387"/>
        <item x="758"/>
        <item x="365"/>
        <item x="868"/>
        <item x="1174"/>
        <item x="490"/>
        <item x="1298"/>
        <item x="1179"/>
        <item x="1481"/>
        <item x="773"/>
        <item x="1485"/>
        <item x="1488"/>
        <item x="178"/>
        <item x="662"/>
        <item x="941"/>
        <item x="1016"/>
        <item x="1232"/>
        <item x="217"/>
        <item x="1392"/>
        <item x="428"/>
        <item x="527"/>
        <item x="159"/>
        <item x="252"/>
        <item x="11"/>
        <item x="606"/>
        <item x="274"/>
        <item x="1248"/>
        <item x="754"/>
        <item x="782"/>
        <item x="889"/>
        <item x="1158"/>
        <item x="1031"/>
        <item x="1496"/>
        <item x="1415"/>
        <item x="453"/>
        <item x="243"/>
        <item x="1450"/>
        <item x="1141"/>
        <item x="1343"/>
        <item x="943"/>
        <item x="761"/>
        <item x="1457"/>
        <item x="550"/>
        <item x="554"/>
        <item x="539"/>
        <item x="125"/>
        <item x="509"/>
        <item x="640"/>
        <item x="1005"/>
        <item x="1097"/>
        <item x="1441"/>
        <item x="1209"/>
        <item x="579"/>
        <item x="224"/>
        <item x="356"/>
        <item x="760"/>
        <item x="1345"/>
        <item x="803"/>
        <item x="630"/>
        <item x="345"/>
        <item x="1028"/>
        <item x="1498"/>
        <item x="767"/>
        <item x="855"/>
        <item x="512"/>
        <item x="789"/>
        <item x="1091"/>
        <item x="654"/>
        <item x="1233"/>
        <item x="1350"/>
        <item x="1079"/>
        <item x="369"/>
        <item x="745"/>
        <item x="641"/>
        <item x="392"/>
        <item x="446"/>
        <item x="57"/>
        <item x="1263"/>
        <item x="1242"/>
        <item x="241"/>
        <item x="108"/>
        <item x="976"/>
        <item x="65"/>
        <item x="1103"/>
        <item x="1170"/>
        <item x="592"/>
        <item x="962"/>
        <item x="952"/>
        <item x="409"/>
        <item x="1346"/>
        <item x="603"/>
        <item x="126"/>
        <item x="1349"/>
        <item x="613"/>
        <item x="493"/>
        <item x="175"/>
        <item x="857"/>
        <item x="966"/>
        <item x="1247"/>
        <item x="155"/>
        <item x="437"/>
        <item x="1468"/>
        <item x="920"/>
        <item x="1102"/>
        <item x="484"/>
        <item x="238"/>
        <item x="1475"/>
        <item x="1260"/>
        <item x="1076"/>
        <item x="324"/>
        <item x="12"/>
        <item x="464"/>
        <item x="573"/>
        <item x="389"/>
        <item x="1393"/>
        <item x="303"/>
        <item x="1107"/>
        <item x="949"/>
        <item x="379"/>
        <item x="226"/>
        <item x="495"/>
        <item x="215"/>
        <item x="665"/>
        <item x="1348"/>
        <item x="794"/>
        <item x="974"/>
        <item x="1096"/>
        <item x="879"/>
        <item x="871"/>
        <item x="812"/>
        <item x="651"/>
        <item x="1347"/>
        <item x="542"/>
        <item x="1395"/>
        <item x="1127"/>
        <item x="749"/>
        <item x="712"/>
        <item x="650"/>
        <item x="30"/>
        <item x="1315"/>
        <item x="99"/>
        <item x="31"/>
        <item x="18"/>
        <item x="268"/>
        <item x="1289"/>
        <item x="1426"/>
        <item x="1116"/>
        <item x="86"/>
        <item x="1309"/>
        <item x="537"/>
        <item x="249"/>
        <item x="1051"/>
        <item x="896"/>
        <item x="296"/>
        <item x="1434"/>
        <item x="552"/>
        <item x="1360"/>
        <item x="1251"/>
        <item x="1493"/>
        <item x="683"/>
        <item x="138"/>
        <item x="1365"/>
        <item x="835"/>
        <item x="831"/>
        <item x="740"/>
        <item x="644"/>
        <item x="374"/>
        <item x="440"/>
        <item x="1471"/>
        <item x="1047"/>
        <item x="614"/>
        <item x="473"/>
        <item x="209"/>
        <item x="394"/>
        <item x="142"/>
        <item x="302"/>
        <item x="1259"/>
        <item x="335"/>
        <item x="262"/>
        <item x="435"/>
        <item x="893"/>
        <item x="572"/>
        <item x="778"/>
        <item x="54"/>
        <item x="965"/>
        <item x="196"/>
        <item x="98"/>
        <item x="685"/>
        <item x="1088"/>
        <item x="632"/>
        <item x="133"/>
        <item x="515"/>
        <item x="697"/>
        <item x="1011"/>
        <item x="362"/>
        <item x="984"/>
        <item x="1499"/>
        <item x="1354"/>
        <item x="993"/>
        <item x="1143"/>
        <item x="254"/>
        <item x="1429"/>
        <item x="291"/>
        <item x="43"/>
        <item x="945"/>
        <item x="1453"/>
        <item x="584"/>
        <item x="684"/>
        <item x="501"/>
        <item x="1474"/>
        <item x="682"/>
        <item x="779"/>
        <item x="360"/>
        <item x="367"/>
        <item x="731"/>
        <item x="904"/>
        <item x="1295"/>
        <item x="508"/>
        <item x="1144"/>
        <item x="327"/>
        <item x="602"/>
        <item x="46"/>
        <item x="306"/>
        <item x="471"/>
        <item x="963"/>
        <item x="383"/>
        <item x="96"/>
        <item x="1413"/>
        <item x="652"/>
        <item x="16"/>
        <item x="282"/>
        <item x="1211"/>
        <item x="1452"/>
        <item x="114"/>
        <item x="1407"/>
        <item x="48"/>
        <item x="908"/>
        <item x="1236"/>
        <item x="301"/>
        <item x="1277"/>
        <item x="1313"/>
        <item x="1054"/>
        <item x="14"/>
        <item x="130"/>
        <item x="1362"/>
        <item x="482"/>
        <item x="996"/>
        <item x="152"/>
        <item x="1359"/>
        <item x="730"/>
        <item x="692"/>
        <item x="1239"/>
        <item x="470"/>
        <item x="713"/>
        <item x="465"/>
        <item x="469"/>
        <item x="1462"/>
        <item x="694"/>
        <item x="287"/>
        <item x="1104"/>
        <item x="502"/>
        <item x="755"/>
        <item x="95"/>
        <item x="1416"/>
        <item x="407"/>
        <item x="177"/>
        <item x="1108"/>
        <item x="438"/>
        <item x="999"/>
        <item x="505"/>
        <item x="1243"/>
        <item x="1139"/>
        <item x="1446"/>
        <item x="822"/>
        <item x="41"/>
        <item x="1378"/>
        <item x="1327"/>
        <item x="986"/>
        <item x="983"/>
        <item x="253"/>
        <item x="468"/>
        <item x="1463"/>
        <item x="1311"/>
        <item x="1385"/>
        <item x="902"/>
        <item x="522"/>
        <item x="769"/>
        <item x="1085"/>
        <item x="633"/>
        <item x="1208"/>
        <item x="102"/>
        <item x="395"/>
        <item x="381"/>
        <item x="744"/>
        <item x="1002"/>
        <item x="922"/>
        <item x="80"/>
        <item x="1215"/>
        <item x="106"/>
        <item x="1201"/>
        <item x="183"/>
        <item x="612"/>
        <item x="22"/>
        <item x="1188"/>
        <item x="620"/>
        <item x="1073"/>
        <item x="77"/>
        <item x="1329"/>
        <item x="255"/>
        <item x="746"/>
        <item x="172"/>
        <item x="1069"/>
        <item x="1489"/>
        <item x="1324"/>
        <item x="431"/>
        <item x="1402"/>
        <item x="624"/>
        <item x="1286"/>
        <item x="876"/>
        <item x="55"/>
        <item x="1126"/>
        <item x="153"/>
        <item x="176"/>
        <item x="1187"/>
        <item x="461"/>
        <item x="1234"/>
        <item x="289"/>
        <item x="1124"/>
        <item x="7"/>
        <item x="93"/>
        <item x="1137"/>
        <item x="1200"/>
        <item x="990"/>
        <item x="1389"/>
        <item x="1237"/>
        <item x="49"/>
        <item x="972"/>
        <item x="234"/>
        <item x="867"/>
        <item x="1394"/>
        <item x="1042"/>
        <item x="523"/>
        <item x="1443"/>
        <item x="675"/>
        <item x="764"/>
        <item x="141"/>
        <item x="1228"/>
        <item x="674"/>
        <item x="52"/>
        <item x="1250"/>
        <item x="1432"/>
        <item x="997"/>
        <item x="337"/>
        <item x="1153"/>
        <item x="1420"/>
        <item x="160"/>
        <item x="1336"/>
        <item x="934"/>
        <item x="759"/>
        <item x="625"/>
        <item x="219"/>
        <item x="1114"/>
        <item x="656"/>
        <item x="565"/>
        <item x="1459"/>
        <item x="1217"/>
        <item x="417"/>
        <item x="1283"/>
        <item x="266"/>
        <item x="1447"/>
        <item x="623"/>
        <item x="1130"/>
        <item x="347"/>
        <item x="563"/>
        <item x="851"/>
        <item x="622"/>
        <item x="841"/>
        <item x="535"/>
        <item x="1017"/>
        <item x="504"/>
        <item x="187"/>
        <item x="829"/>
        <item x="401"/>
        <item x="743"/>
        <item x="940"/>
        <item x="1154"/>
        <item x="530"/>
        <item x="1405"/>
        <item x="1169"/>
        <item x="1194"/>
        <item x="462"/>
        <item x="397"/>
        <item x="1163"/>
        <item x="118"/>
        <item x="1280"/>
        <item x="210"/>
        <item x="182"/>
        <item x="1454"/>
        <item x="1021"/>
        <item x="739"/>
        <item x="919"/>
        <item x="777"/>
        <item x="918"/>
        <item x="586"/>
        <item x="222"/>
        <item x="1479"/>
        <item x="1152"/>
        <item x="1409"/>
        <item x="653"/>
        <item x="844"/>
        <item x="132"/>
        <item x="1115"/>
        <item x="526"/>
        <item x="1071"/>
        <item x="278"/>
        <item t="default"/>
      </items>
    </pivotField>
    <pivotField showAll="0">
      <items count="557">
        <item x="511"/>
        <item x="222"/>
        <item x="247"/>
        <item x="243"/>
        <item x="472"/>
        <item x="390"/>
        <item x="409"/>
        <item x="199"/>
        <item x="370"/>
        <item x="461"/>
        <item x="344"/>
        <item x="449"/>
        <item x="147"/>
        <item x="161"/>
        <item x="119"/>
        <item x="168"/>
        <item x="422"/>
        <item x="331"/>
        <item x="225"/>
        <item x="66"/>
        <item x="434"/>
        <item x="316"/>
        <item x="544"/>
        <item x="361"/>
        <item x="457"/>
        <item x="546"/>
        <item x="405"/>
        <item x="411"/>
        <item x="49"/>
        <item x="464"/>
        <item x="373"/>
        <item x="300"/>
        <item x="518"/>
        <item x="380"/>
        <item x="378"/>
        <item x="220"/>
        <item x="31"/>
        <item x="29"/>
        <item x="214"/>
        <item x="463"/>
        <item x="3"/>
        <item x="182"/>
        <item x="244"/>
        <item x="549"/>
        <item x="158"/>
        <item x="485"/>
        <item x="551"/>
        <item x="60"/>
        <item x="436"/>
        <item x="531"/>
        <item x="59"/>
        <item x="555"/>
        <item x="106"/>
        <item x="283"/>
        <item x="242"/>
        <item x="20"/>
        <item x="154"/>
        <item x="391"/>
        <item x="44"/>
        <item x="251"/>
        <item x="349"/>
        <item x="406"/>
        <item x="266"/>
        <item x="305"/>
        <item x="224"/>
        <item x="453"/>
        <item x="16"/>
        <item x="292"/>
        <item x="221"/>
        <item x="93"/>
        <item x="471"/>
        <item x="286"/>
        <item x="456"/>
        <item x="459"/>
        <item x="172"/>
        <item x="294"/>
        <item x="228"/>
        <item x="280"/>
        <item x="375"/>
        <item x="120"/>
        <item x="533"/>
        <item x="127"/>
        <item x="282"/>
        <item x="440"/>
        <item x="107"/>
        <item x="153"/>
        <item x="334"/>
        <item x="226"/>
        <item x="108"/>
        <item x="95"/>
        <item x="372"/>
        <item x="17"/>
        <item x="376"/>
        <item x="88"/>
        <item x="231"/>
        <item x="407"/>
        <item x="475"/>
        <item x="200"/>
        <item x="466"/>
        <item x="420"/>
        <item x="336"/>
        <item x="40"/>
        <item x="18"/>
        <item x="91"/>
        <item x="447"/>
        <item x="152"/>
        <item x="519"/>
        <item x="483"/>
        <item x="10"/>
        <item x="501"/>
        <item x="329"/>
        <item x="512"/>
        <item x="528"/>
        <item x="360"/>
        <item x="371"/>
        <item x="257"/>
        <item x="196"/>
        <item x="230"/>
        <item x="408"/>
        <item x="215"/>
        <item x="328"/>
        <item x="23"/>
        <item x="236"/>
        <item x="541"/>
        <item x="146"/>
        <item x="314"/>
        <item x="354"/>
        <item x="83"/>
        <item x="477"/>
        <item x="273"/>
        <item x="271"/>
        <item x="458"/>
        <item x="210"/>
        <item x="335"/>
        <item x="553"/>
        <item x="321"/>
        <item x="176"/>
        <item x="542"/>
        <item x="359"/>
        <item x="28"/>
        <item x="207"/>
        <item x="167"/>
        <item x="513"/>
        <item x="53"/>
        <item x="227"/>
        <item x="302"/>
        <item x="330"/>
        <item x="415"/>
        <item x="206"/>
        <item x="70"/>
        <item x="9"/>
        <item x="261"/>
        <item x="357"/>
        <item x="396"/>
        <item x="289"/>
        <item x="201"/>
        <item x="332"/>
        <item x="554"/>
        <item x="524"/>
        <item x="489"/>
        <item x="488"/>
        <item x="355"/>
        <item x="169"/>
        <item x="437"/>
        <item x="143"/>
        <item x="36"/>
        <item x="121"/>
        <item x="452"/>
        <item x="30"/>
        <item x="259"/>
        <item x="307"/>
        <item x="219"/>
        <item x="299"/>
        <item x="47"/>
        <item x="159"/>
        <item x="148"/>
        <item x="446"/>
        <item x="417"/>
        <item x="386"/>
        <item x="538"/>
        <item x="135"/>
        <item x="497"/>
        <item x="111"/>
        <item x="57"/>
        <item x="268"/>
        <item x="435"/>
        <item x="535"/>
        <item x="64"/>
        <item x="1"/>
        <item x="352"/>
        <item x="515"/>
        <item x="122"/>
        <item x="322"/>
        <item x="142"/>
        <item x="425"/>
        <item x="186"/>
        <item x="318"/>
        <item x="503"/>
        <item x="516"/>
        <item x="327"/>
        <item x="26"/>
        <item x="62"/>
        <item x="89"/>
        <item x="24"/>
        <item x="235"/>
        <item x="136"/>
        <item x="474"/>
        <item x="237"/>
        <item x="504"/>
        <item x="115"/>
        <item x="0"/>
        <item x="404"/>
        <item x="130"/>
        <item x="455"/>
        <item x="77"/>
        <item x="4"/>
        <item x="279"/>
        <item x="274"/>
        <item x="248"/>
        <item x="479"/>
        <item x="470"/>
        <item x="198"/>
        <item x="38"/>
        <item x="229"/>
        <item x="191"/>
        <item x="323"/>
        <item x="348"/>
        <item x="202"/>
        <item x="79"/>
        <item x="500"/>
        <item x="275"/>
        <item x="443"/>
        <item x="217"/>
        <item x="536"/>
        <item x="134"/>
        <item x="430"/>
        <item x="311"/>
        <item x="345"/>
        <item x="272"/>
        <item x="530"/>
        <item x="495"/>
        <item x="256"/>
        <item x="245"/>
        <item x="50"/>
        <item x="290"/>
        <item x="54"/>
        <item x="365"/>
        <item x="484"/>
        <item x="499"/>
        <item x="412"/>
        <item x="11"/>
        <item x="137"/>
        <item x="33"/>
        <item x="448"/>
        <item x="319"/>
        <item x="467"/>
        <item x="232"/>
        <item x="460"/>
        <item x="170"/>
        <item x="100"/>
        <item x="382"/>
        <item x="197"/>
        <item x="416"/>
        <item x="310"/>
        <item x="42"/>
        <item x="2"/>
        <item x="32"/>
        <item x="403"/>
        <item x="298"/>
        <item x="58"/>
        <item x="101"/>
        <item x="113"/>
        <item x="126"/>
        <item x="462"/>
        <item x="80"/>
        <item x="118"/>
        <item x="145"/>
        <item x="270"/>
        <item x="63"/>
        <item x="525"/>
        <item x="265"/>
        <item x="340"/>
        <item x="267"/>
        <item x="433"/>
        <item x="132"/>
        <item x="481"/>
        <item x="444"/>
        <item x="35"/>
        <item x="367"/>
        <item x="377"/>
        <item x="254"/>
        <item x="315"/>
        <item x="269"/>
        <item x="281"/>
        <item x="140"/>
        <item x="509"/>
        <item x="397"/>
        <item x="150"/>
        <item x="368"/>
        <item x="263"/>
        <item x="392"/>
        <item x="7"/>
        <item x="317"/>
        <item x="339"/>
        <item x="341"/>
        <item x="133"/>
        <item x="163"/>
        <item x="73"/>
        <item x="105"/>
        <item x="309"/>
        <item x="320"/>
        <item x="431"/>
        <item x="212"/>
        <item x="86"/>
        <item x="76"/>
        <item x="178"/>
        <item x="252"/>
        <item x="223"/>
        <item x="27"/>
        <item x="550"/>
        <item x="486"/>
        <item x="429"/>
        <item x="423"/>
        <item x="15"/>
        <item x="98"/>
        <item x="347"/>
        <item x="374"/>
        <item x="507"/>
        <item x="185"/>
        <item x="184"/>
        <item x="204"/>
        <item x="156"/>
        <item x="498"/>
        <item x="125"/>
        <item x="476"/>
        <item x="285"/>
        <item x="5"/>
        <item x="366"/>
        <item x="123"/>
        <item x="478"/>
        <item x="78"/>
        <item x="249"/>
        <item x="552"/>
        <item x="104"/>
        <item x="293"/>
        <item x="465"/>
        <item x="138"/>
        <item x="496"/>
        <item x="539"/>
        <item x="56"/>
        <item x="333"/>
        <item x="96"/>
        <item x="151"/>
        <item x="116"/>
        <item x="363"/>
        <item x="112"/>
        <item x="454"/>
        <item x="508"/>
        <item x="288"/>
        <item x="141"/>
        <item x="74"/>
        <item x="428"/>
        <item x="502"/>
        <item x="81"/>
        <item x="175"/>
        <item x="527"/>
        <item x="353"/>
        <item x="306"/>
        <item x="173"/>
        <item x="514"/>
        <item x="526"/>
        <item x="109"/>
        <item x="193"/>
        <item x="211"/>
        <item x="451"/>
        <item x="51"/>
        <item x="171"/>
        <item x="469"/>
        <item x="68"/>
        <item x="350"/>
        <item x="395"/>
        <item x="238"/>
        <item x="46"/>
        <item x="276"/>
        <item x="213"/>
        <item x="480"/>
        <item x="180"/>
        <item x="128"/>
        <item x="277"/>
        <item x="192"/>
        <item x="521"/>
        <item x="473"/>
        <item x="39"/>
        <item x="84"/>
        <item x="313"/>
        <item x="164"/>
        <item x="487"/>
        <item x="45"/>
        <item x="155"/>
        <item x="48"/>
        <item x="260"/>
        <item x="14"/>
        <item x="362"/>
        <item x="394"/>
        <item x="490"/>
        <item x="326"/>
        <item x="52"/>
        <item x="205"/>
        <item x="94"/>
        <item x="174"/>
        <item x="203"/>
        <item x="338"/>
        <item x="34"/>
        <item x="342"/>
        <item x="250"/>
        <item x="303"/>
        <item x="506"/>
        <item x="114"/>
        <item x="389"/>
        <item x="399"/>
        <item x="424"/>
        <item x="295"/>
        <item x="291"/>
        <item x="398"/>
        <item x="385"/>
        <item x="547"/>
        <item x="297"/>
        <item x="99"/>
        <item x="85"/>
        <item x="532"/>
        <item x="75"/>
        <item x="381"/>
        <item x="195"/>
        <item x="537"/>
        <item x="419"/>
        <item x="421"/>
        <item x="384"/>
        <item x="445"/>
        <item x="209"/>
        <item x="37"/>
        <item x="162"/>
        <item x="432"/>
        <item x="117"/>
        <item x="356"/>
        <item x="239"/>
        <item x="240"/>
        <item x="255"/>
        <item x="234"/>
        <item x="55"/>
        <item x="181"/>
        <item x="383"/>
        <item x="410"/>
        <item x="346"/>
        <item x="522"/>
        <item x="369"/>
        <item x="189"/>
        <item x="543"/>
        <item x="21"/>
        <item x="387"/>
        <item x="165"/>
        <item x="187"/>
        <item x="364"/>
        <item x="67"/>
        <item x="87"/>
        <item x="388"/>
        <item x="520"/>
        <item x="177"/>
        <item x="216"/>
        <item x="442"/>
        <item x="253"/>
        <item x="351"/>
        <item x="402"/>
        <item x="131"/>
        <item x="278"/>
        <item x="308"/>
        <item x="426"/>
        <item x="517"/>
        <item x="139"/>
        <item x="71"/>
        <item x="413"/>
        <item x="284"/>
        <item x="188"/>
        <item x="258"/>
        <item x="441"/>
        <item x="69"/>
        <item x="194"/>
        <item x="379"/>
        <item x="418"/>
        <item x="468"/>
        <item x="548"/>
        <item x="92"/>
        <item x="493"/>
        <item x="61"/>
        <item x="233"/>
        <item x="529"/>
        <item x="218"/>
        <item x="110"/>
        <item x="401"/>
        <item x="25"/>
        <item x="160"/>
        <item x="12"/>
        <item x="157"/>
        <item x="102"/>
        <item x="337"/>
        <item x="510"/>
        <item x="523"/>
        <item x="438"/>
        <item x="427"/>
        <item x="304"/>
        <item x="393"/>
        <item x="43"/>
        <item x="400"/>
        <item x="166"/>
        <item x="482"/>
        <item x="124"/>
        <item x="264"/>
        <item x="246"/>
        <item x="540"/>
        <item x="301"/>
        <item x="19"/>
        <item x="129"/>
        <item x="545"/>
        <item x="491"/>
        <item x="90"/>
        <item x="439"/>
        <item x="97"/>
        <item x="6"/>
        <item x="183"/>
        <item x="41"/>
        <item x="450"/>
        <item x="296"/>
        <item x="262"/>
        <item x="492"/>
        <item x="179"/>
        <item x="190"/>
        <item x="82"/>
        <item x="13"/>
        <item x="343"/>
        <item x="65"/>
        <item x="241"/>
        <item x="505"/>
        <item x="208"/>
        <item x="325"/>
        <item x="144"/>
        <item x="287"/>
        <item x="103"/>
        <item x="312"/>
        <item x="324"/>
        <item x="22"/>
        <item x="72"/>
        <item x="358"/>
        <item x="149"/>
        <item x="414"/>
        <item x="8"/>
        <item x="534"/>
        <item x="494"/>
        <item t="default"/>
      </items>
    </pivotField>
    <pivotField showAll="0">
      <items count="472">
        <item x="34"/>
        <item x="302"/>
        <item x="230"/>
        <item x="393"/>
        <item x="25"/>
        <item x="384"/>
        <item x="168"/>
        <item x="74"/>
        <item x="329"/>
        <item x="231"/>
        <item x="15"/>
        <item x="363"/>
        <item x="175"/>
        <item x="205"/>
        <item x="416"/>
        <item x="184"/>
        <item x="60"/>
        <item x="459"/>
        <item x="33"/>
        <item x="456"/>
        <item x="215"/>
        <item x="118"/>
        <item x="164"/>
        <item x="340"/>
        <item x="45"/>
        <item x="364"/>
        <item x="212"/>
        <item x="349"/>
        <item x="406"/>
        <item x="271"/>
        <item x="151"/>
        <item x="169"/>
        <item x="451"/>
        <item x="387"/>
        <item x="389"/>
        <item x="401"/>
        <item x="463"/>
        <item x="202"/>
        <item x="273"/>
        <item x="41"/>
        <item x="163"/>
        <item x="166"/>
        <item x="465"/>
        <item x="96"/>
        <item x="65"/>
        <item x="104"/>
        <item x="466"/>
        <item x="424"/>
        <item x="19"/>
        <item x="55"/>
        <item x="399"/>
        <item x="274"/>
        <item x="407"/>
        <item x="257"/>
        <item x="330"/>
        <item x="291"/>
        <item x="251"/>
        <item x="84"/>
        <item x="152"/>
        <item x="203"/>
        <item x="327"/>
        <item x="338"/>
        <item x="228"/>
        <item x="103"/>
        <item x="438"/>
        <item x="156"/>
        <item x="183"/>
        <item x="0"/>
        <item x="133"/>
        <item x="325"/>
        <item x="418"/>
        <item x="141"/>
        <item x="238"/>
        <item x="366"/>
        <item x="106"/>
        <item x="2"/>
        <item x="21"/>
        <item x="443"/>
        <item x="339"/>
        <item x="20"/>
        <item x="405"/>
        <item x="290"/>
        <item x="420"/>
        <item x="218"/>
        <item x="80"/>
        <item x="270"/>
        <item x="198"/>
        <item x="343"/>
        <item x="445"/>
        <item x="452"/>
        <item x="120"/>
        <item x="333"/>
        <item x="280"/>
        <item x="276"/>
        <item x="336"/>
        <item x="415"/>
        <item x="277"/>
        <item x="172"/>
        <item x="233"/>
        <item x="68"/>
        <item x="42"/>
        <item x="88"/>
        <item x="5"/>
        <item x="7"/>
        <item x="436"/>
        <item x="204"/>
        <item x="246"/>
        <item x="6"/>
        <item x="447"/>
        <item x="111"/>
        <item x="105"/>
        <item x="440"/>
        <item x="429"/>
        <item x="145"/>
        <item x="287"/>
        <item x="350"/>
        <item x="113"/>
        <item x="348"/>
        <item x="446"/>
        <item x="328"/>
        <item x="153"/>
        <item x="460"/>
        <item x="18"/>
        <item x="300"/>
        <item x="46"/>
        <item x="197"/>
        <item x="427"/>
        <item x="324"/>
        <item x="237"/>
        <item x="413"/>
        <item x="59"/>
        <item x="157"/>
        <item x="341"/>
        <item x="196"/>
        <item x="223"/>
        <item x="252"/>
        <item x="179"/>
        <item x="187"/>
        <item x="449"/>
        <item x="259"/>
        <item x="243"/>
        <item x="432"/>
        <item x="411"/>
        <item x="334"/>
        <item x="121"/>
        <item x="159"/>
        <item x="186"/>
        <item x="220"/>
        <item x="90"/>
        <item x="298"/>
        <item x="369"/>
        <item x="337"/>
        <item x="352"/>
        <item x="69"/>
        <item x="91"/>
        <item x="54"/>
        <item x="167"/>
        <item x="154"/>
        <item x="425"/>
        <item x="437"/>
        <item x="278"/>
        <item x="200"/>
        <item x="292"/>
        <item x="390"/>
        <item x="450"/>
        <item x="191"/>
        <item x="210"/>
        <item x="51"/>
        <item x="388"/>
        <item x="272"/>
        <item x="129"/>
        <item x="462"/>
        <item x="93"/>
        <item x="98"/>
        <item x="435"/>
        <item x="116"/>
        <item x="385"/>
        <item x="421"/>
        <item x="351"/>
        <item x="101"/>
        <item x="193"/>
        <item x="82"/>
        <item x="213"/>
        <item x="199"/>
        <item x="76"/>
        <item x="254"/>
        <item x="468"/>
        <item x="58"/>
        <item x="249"/>
        <item x="312"/>
        <item x="73"/>
        <item x="181"/>
        <item x="461"/>
        <item x="321"/>
        <item x="295"/>
        <item x="344"/>
        <item x="392"/>
        <item x="454"/>
        <item x="263"/>
        <item x="391"/>
        <item x="428"/>
        <item x="211"/>
        <item x="142"/>
        <item x="370"/>
        <item x="150"/>
        <item x="455"/>
        <item x="232"/>
        <item x="317"/>
        <item x="396"/>
        <item x="61"/>
        <item x="467"/>
        <item x="8"/>
        <item x="431"/>
        <item x="374"/>
        <item x="50"/>
        <item x="275"/>
        <item x="383"/>
        <item x="170"/>
        <item x="36"/>
        <item x="309"/>
        <item x="122"/>
        <item x="112"/>
        <item x="100"/>
        <item x="308"/>
        <item x="131"/>
        <item x="234"/>
        <item x="457"/>
        <item x="143"/>
        <item x="108"/>
        <item x="361"/>
        <item x="226"/>
        <item x="81"/>
        <item x="313"/>
        <item x="53"/>
        <item x="214"/>
        <item x="375"/>
        <item x="289"/>
        <item x="176"/>
        <item x="294"/>
        <item x="188"/>
        <item x="469"/>
        <item x="360"/>
        <item x="192"/>
        <item x="77"/>
        <item x="269"/>
        <item x="11"/>
        <item x="242"/>
        <item x="347"/>
        <item x="24"/>
        <item x="70"/>
        <item x="345"/>
        <item x="380"/>
        <item x="16"/>
        <item x="264"/>
        <item x="376"/>
        <item x="245"/>
        <item x="195"/>
        <item x="115"/>
        <item x="89"/>
        <item x="180"/>
        <item x="161"/>
        <item x="158"/>
        <item x="409"/>
        <item x="43"/>
        <item x="281"/>
        <item x="458"/>
        <item x="28"/>
        <item x="239"/>
        <item x="185"/>
        <item x="216"/>
        <item x="56"/>
        <item x="182"/>
        <item x="102"/>
        <item x="441"/>
        <item x="386"/>
        <item x="173"/>
        <item x="261"/>
        <item x="314"/>
        <item x="453"/>
        <item x="307"/>
        <item x="311"/>
        <item x="423"/>
        <item x="262"/>
        <item x="318"/>
        <item x="174"/>
        <item x="135"/>
        <item x="372"/>
        <item x="224"/>
        <item x="368"/>
        <item x="430"/>
        <item x="206"/>
        <item x="22"/>
        <item x="286"/>
        <item x="255"/>
        <item x="256"/>
        <item x="422"/>
        <item x="138"/>
        <item x="285"/>
        <item x="240"/>
        <item x="301"/>
        <item x="99"/>
        <item x="35"/>
        <item x="358"/>
        <item x="303"/>
        <item x="365"/>
        <item x="362"/>
        <item x="155"/>
        <item x="79"/>
        <item x="178"/>
        <item x="114"/>
        <item x="253"/>
        <item x="190"/>
        <item x="419"/>
        <item x="128"/>
        <item x="87"/>
        <item x="52"/>
        <item x="177"/>
        <item x="207"/>
        <item x="130"/>
        <item x="297"/>
        <item x="379"/>
        <item x="283"/>
        <item x="17"/>
        <item x="49"/>
        <item x="293"/>
        <item x="395"/>
        <item x="403"/>
        <item x="265"/>
        <item x="23"/>
        <item x="37"/>
        <item x="346"/>
        <item x="78"/>
        <item x="94"/>
        <item x="266"/>
        <item x="10"/>
        <item x="162"/>
        <item x="86"/>
        <item x="260"/>
        <item x="149"/>
        <item x="323"/>
        <item x="124"/>
        <item x="410"/>
        <item x="354"/>
        <item x="398"/>
        <item x="279"/>
        <item x="95"/>
        <item x="412"/>
        <item x="201"/>
        <item x="355"/>
        <item x="1"/>
        <item x="26"/>
        <item x="378"/>
        <item x="439"/>
        <item x="44"/>
        <item x="404"/>
        <item x="136"/>
        <item x="3"/>
        <item x="433"/>
        <item x="132"/>
        <item x="171"/>
        <item x="148"/>
        <item x="244"/>
        <item x="426"/>
        <item x="209"/>
        <item x="71"/>
        <item x="189"/>
        <item x="464"/>
        <item x="107"/>
        <item x="137"/>
        <item x="248"/>
        <item x="221"/>
        <item x="97"/>
        <item x="134"/>
        <item x="64"/>
        <item x="40"/>
        <item x="310"/>
        <item x="27"/>
        <item x="4"/>
        <item x="165"/>
        <item x="326"/>
        <item x="39"/>
        <item x="241"/>
        <item x="335"/>
        <item x="400"/>
        <item x="377"/>
        <item x="305"/>
        <item x="353"/>
        <item x="9"/>
        <item x="126"/>
        <item x="140"/>
        <item x="448"/>
        <item x="267"/>
        <item x="235"/>
        <item x="394"/>
        <item x="194"/>
        <item x="125"/>
        <item x="57"/>
        <item x="66"/>
        <item x="227"/>
        <item x="110"/>
        <item x="282"/>
        <item x="382"/>
        <item x="127"/>
        <item x="67"/>
        <item x="357"/>
        <item x="139"/>
        <item x="117"/>
        <item x="85"/>
        <item x="284"/>
        <item x="319"/>
        <item x="304"/>
        <item x="316"/>
        <item x="306"/>
        <item x="414"/>
        <item x="342"/>
        <item x="397"/>
        <item x="147"/>
        <item x="75"/>
        <item x="470"/>
        <item x="225"/>
        <item x="31"/>
        <item x="331"/>
        <item x="119"/>
        <item x="32"/>
        <item x="299"/>
        <item x="268"/>
        <item x="72"/>
        <item x="332"/>
        <item x="442"/>
        <item x="146"/>
        <item x="296"/>
        <item x="222"/>
        <item x="30"/>
        <item x="434"/>
        <item x="38"/>
        <item x="315"/>
        <item x="63"/>
        <item x="402"/>
        <item x="229"/>
        <item x="322"/>
        <item x="219"/>
        <item x="29"/>
        <item x="373"/>
        <item x="359"/>
        <item x="247"/>
        <item x="371"/>
        <item x="83"/>
        <item x="12"/>
        <item x="62"/>
        <item x="356"/>
        <item x="217"/>
        <item x="381"/>
        <item x="144"/>
        <item x="288"/>
        <item x="109"/>
        <item x="444"/>
        <item x="258"/>
        <item x="48"/>
        <item x="367"/>
        <item x="13"/>
        <item x="208"/>
        <item x="47"/>
        <item x="123"/>
        <item x="417"/>
        <item x="236"/>
        <item x="408"/>
        <item x="250"/>
        <item x="320"/>
        <item x="14"/>
        <item x="160"/>
        <item x="92"/>
        <item t="default"/>
      </items>
    </pivotField>
    <pivotField showAll="0"/>
    <pivotField showAll="0">
      <items count="5">
        <item x="2"/>
        <item x="3"/>
        <item x="1"/>
        <item x="0"/>
        <item t="default"/>
      </items>
    </pivotField>
    <pivotField showAll="0">
      <items count="3">
        <item x="1"/>
        <item x="0"/>
        <item t="default"/>
      </items>
    </pivotField>
    <pivotField showAll="0"/>
  </pivotFields>
  <rowFields count="1">
    <field x="4"/>
  </rowFields>
  <rowItems count="9">
    <i>
      <x/>
    </i>
    <i>
      <x v="1"/>
    </i>
    <i>
      <x v="2"/>
    </i>
    <i>
      <x v="3"/>
    </i>
    <i>
      <x v="4"/>
    </i>
    <i>
      <x v="5"/>
    </i>
    <i>
      <x v="6"/>
    </i>
    <i>
      <x v="7"/>
    </i>
    <i t="grand">
      <x/>
    </i>
  </rowItems>
  <colItems count="1">
    <i/>
  </colItems>
  <dataFields count="1">
    <dataField name="Count of City" fld="4" subtotal="count" baseField="0" baseItem="0"/>
  </dataFields>
  <chartFormats count="2">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ransaction "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G3:H8" firstHeaderRow="1" firstDataRow="1" firstDataCol="1"/>
  <pivotFields count="14">
    <pivotField showAll="0"/>
    <pivotField showAll="0"/>
    <pivotField showAll="0"/>
    <pivotField showAll="0">
      <items count="3">
        <item x="1"/>
        <item x="0"/>
        <item t="default"/>
      </items>
    </pivotField>
    <pivotField showAll="0">
      <items count="9">
        <item x="4"/>
        <item x="3"/>
        <item x="5"/>
        <item x="2"/>
        <item x="6"/>
        <item x="0"/>
        <item x="7"/>
        <item x="1"/>
        <item t="default"/>
      </items>
    </pivotField>
    <pivotField showAll="0">
      <items count="5">
        <item x="2"/>
        <item x="1"/>
        <item x="3"/>
        <item x="0"/>
        <item t="default"/>
      </items>
    </pivotField>
    <pivotField showAll="0"/>
    <pivotField showAll="0"/>
    <pivotField showAll="0"/>
    <pivotField dataField="1" showAll="0">
      <items count="472">
        <item x="34"/>
        <item x="302"/>
        <item x="230"/>
        <item x="393"/>
        <item x="25"/>
        <item x="384"/>
        <item x="168"/>
        <item x="74"/>
        <item x="329"/>
        <item x="231"/>
        <item x="15"/>
        <item x="363"/>
        <item x="175"/>
        <item x="205"/>
        <item x="416"/>
        <item x="184"/>
        <item x="60"/>
        <item x="459"/>
        <item x="33"/>
        <item x="456"/>
        <item x="215"/>
        <item x="118"/>
        <item x="164"/>
        <item x="340"/>
        <item x="45"/>
        <item x="364"/>
        <item x="212"/>
        <item x="349"/>
        <item x="406"/>
        <item x="271"/>
        <item x="151"/>
        <item x="169"/>
        <item x="451"/>
        <item x="387"/>
        <item x="389"/>
        <item x="401"/>
        <item x="463"/>
        <item x="202"/>
        <item x="273"/>
        <item x="41"/>
        <item x="163"/>
        <item x="166"/>
        <item x="465"/>
        <item x="96"/>
        <item x="65"/>
        <item x="104"/>
        <item x="466"/>
        <item x="424"/>
        <item x="19"/>
        <item x="55"/>
        <item x="399"/>
        <item x="274"/>
        <item x="407"/>
        <item x="257"/>
        <item x="330"/>
        <item x="291"/>
        <item x="251"/>
        <item x="84"/>
        <item x="152"/>
        <item x="203"/>
        <item x="327"/>
        <item x="338"/>
        <item x="228"/>
        <item x="103"/>
        <item x="438"/>
        <item x="156"/>
        <item x="183"/>
        <item x="0"/>
        <item x="133"/>
        <item x="325"/>
        <item x="418"/>
        <item x="141"/>
        <item x="238"/>
        <item x="366"/>
        <item x="106"/>
        <item x="2"/>
        <item x="21"/>
        <item x="443"/>
        <item x="339"/>
        <item x="20"/>
        <item x="405"/>
        <item x="290"/>
        <item x="420"/>
        <item x="218"/>
        <item x="80"/>
        <item x="270"/>
        <item x="198"/>
        <item x="343"/>
        <item x="445"/>
        <item x="452"/>
        <item x="120"/>
        <item x="333"/>
        <item x="280"/>
        <item x="276"/>
        <item x="336"/>
        <item x="415"/>
        <item x="277"/>
        <item x="172"/>
        <item x="233"/>
        <item x="68"/>
        <item x="42"/>
        <item x="88"/>
        <item x="5"/>
        <item x="7"/>
        <item x="436"/>
        <item x="204"/>
        <item x="246"/>
        <item x="6"/>
        <item x="447"/>
        <item x="111"/>
        <item x="105"/>
        <item x="440"/>
        <item x="429"/>
        <item x="145"/>
        <item x="287"/>
        <item x="350"/>
        <item x="113"/>
        <item x="348"/>
        <item x="446"/>
        <item x="328"/>
        <item x="153"/>
        <item x="460"/>
        <item x="18"/>
        <item x="300"/>
        <item x="46"/>
        <item x="197"/>
        <item x="427"/>
        <item x="324"/>
        <item x="237"/>
        <item x="413"/>
        <item x="59"/>
        <item x="157"/>
        <item x="341"/>
        <item x="196"/>
        <item x="223"/>
        <item x="252"/>
        <item x="179"/>
        <item x="187"/>
        <item x="449"/>
        <item x="259"/>
        <item x="243"/>
        <item x="432"/>
        <item x="411"/>
        <item x="334"/>
        <item x="121"/>
        <item x="159"/>
        <item x="186"/>
        <item x="220"/>
        <item x="90"/>
        <item x="298"/>
        <item x="369"/>
        <item x="337"/>
        <item x="352"/>
        <item x="69"/>
        <item x="91"/>
        <item x="54"/>
        <item x="167"/>
        <item x="154"/>
        <item x="425"/>
        <item x="437"/>
        <item x="278"/>
        <item x="200"/>
        <item x="292"/>
        <item x="390"/>
        <item x="450"/>
        <item x="191"/>
        <item x="210"/>
        <item x="51"/>
        <item x="388"/>
        <item x="272"/>
        <item x="129"/>
        <item x="462"/>
        <item x="93"/>
        <item x="98"/>
        <item x="435"/>
        <item x="116"/>
        <item x="385"/>
        <item x="421"/>
        <item x="351"/>
        <item x="101"/>
        <item x="193"/>
        <item x="82"/>
        <item x="213"/>
        <item x="199"/>
        <item x="76"/>
        <item x="254"/>
        <item x="468"/>
        <item x="58"/>
        <item x="249"/>
        <item x="312"/>
        <item x="73"/>
        <item x="181"/>
        <item x="461"/>
        <item x="321"/>
        <item x="295"/>
        <item x="344"/>
        <item x="392"/>
        <item x="454"/>
        <item x="263"/>
        <item x="391"/>
        <item x="428"/>
        <item x="211"/>
        <item x="142"/>
        <item x="370"/>
        <item x="150"/>
        <item x="455"/>
        <item x="232"/>
        <item x="317"/>
        <item x="396"/>
        <item x="61"/>
        <item x="467"/>
        <item x="8"/>
        <item x="431"/>
        <item x="374"/>
        <item x="50"/>
        <item x="275"/>
        <item x="383"/>
        <item x="170"/>
        <item x="36"/>
        <item x="309"/>
        <item x="122"/>
        <item x="112"/>
        <item x="100"/>
        <item x="308"/>
        <item x="131"/>
        <item x="234"/>
        <item x="457"/>
        <item x="143"/>
        <item x="108"/>
        <item x="361"/>
        <item x="226"/>
        <item x="81"/>
        <item x="313"/>
        <item x="53"/>
        <item x="214"/>
        <item x="375"/>
        <item x="289"/>
        <item x="176"/>
        <item x="294"/>
        <item x="188"/>
        <item x="469"/>
        <item x="360"/>
        <item x="192"/>
        <item x="77"/>
        <item x="269"/>
        <item x="11"/>
        <item x="242"/>
        <item x="347"/>
        <item x="24"/>
        <item x="70"/>
        <item x="345"/>
        <item x="380"/>
        <item x="16"/>
        <item x="264"/>
        <item x="376"/>
        <item x="245"/>
        <item x="195"/>
        <item x="115"/>
        <item x="89"/>
        <item x="180"/>
        <item x="161"/>
        <item x="158"/>
        <item x="409"/>
        <item x="43"/>
        <item x="281"/>
        <item x="458"/>
        <item x="28"/>
        <item x="239"/>
        <item x="185"/>
        <item x="216"/>
        <item x="56"/>
        <item x="182"/>
        <item x="102"/>
        <item x="441"/>
        <item x="386"/>
        <item x="173"/>
        <item x="261"/>
        <item x="314"/>
        <item x="453"/>
        <item x="307"/>
        <item x="311"/>
        <item x="423"/>
        <item x="262"/>
        <item x="318"/>
        <item x="174"/>
        <item x="135"/>
        <item x="372"/>
        <item x="224"/>
        <item x="368"/>
        <item x="430"/>
        <item x="206"/>
        <item x="22"/>
        <item x="286"/>
        <item x="255"/>
        <item x="256"/>
        <item x="422"/>
        <item x="138"/>
        <item x="285"/>
        <item x="240"/>
        <item x="301"/>
        <item x="99"/>
        <item x="35"/>
        <item x="358"/>
        <item x="303"/>
        <item x="365"/>
        <item x="362"/>
        <item x="155"/>
        <item x="79"/>
        <item x="178"/>
        <item x="114"/>
        <item x="253"/>
        <item x="190"/>
        <item x="419"/>
        <item x="128"/>
        <item x="87"/>
        <item x="52"/>
        <item x="177"/>
        <item x="207"/>
        <item x="130"/>
        <item x="297"/>
        <item x="379"/>
        <item x="283"/>
        <item x="17"/>
        <item x="49"/>
        <item x="293"/>
        <item x="395"/>
        <item x="403"/>
        <item x="265"/>
        <item x="23"/>
        <item x="37"/>
        <item x="346"/>
        <item x="78"/>
        <item x="94"/>
        <item x="266"/>
        <item x="10"/>
        <item x="162"/>
        <item x="86"/>
        <item x="260"/>
        <item x="149"/>
        <item x="323"/>
        <item x="124"/>
        <item x="410"/>
        <item x="354"/>
        <item x="398"/>
        <item x="279"/>
        <item x="95"/>
        <item x="412"/>
        <item x="201"/>
        <item x="355"/>
        <item x="1"/>
        <item x="26"/>
        <item x="378"/>
        <item x="439"/>
        <item x="44"/>
        <item x="404"/>
        <item x="136"/>
        <item x="3"/>
        <item x="433"/>
        <item x="132"/>
        <item x="171"/>
        <item x="148"/>
        <item x="244"/>
        <item x="426"/>
        <item x="209"/>
        <item x="71"/>
        <item x="189"/>
        <item x="464"/>
        <item x="107"/>
        <item x="137"/>
        <item x="248"/>
        <item x="221"/>
        <item x="97"/>
        <item x="134"/>
        <item x="64"/>
        <item x="40"/>
        <item x="310"/>
        <item x="27"/>
        <item x="4"/>
        <item x="165"/>
        <item x="326"/>
        <item x="39"/>
        <item x="241"/>
        <item x="335"/>
        <item x="400"/>
        <item x="377"/>
        <item x="305"/>
        <item x="353"/>
        <item x="9"/>
        <item x="126"/>
        <item x="140"/>
        <item x="448"/>
        <item x="267"/>
        <item x="235"/>
        <item x="394"/>
        <item x="194"/>
        <item x="125"/>
        <item x="57"/>
        <item x="66"/>
        <item x="227"/>
        <item x="110"/>
        <item x="282"/>
        <item x="382"/>
        <item x="127"/>
        <item x="67"/>
        <item x="357"/>
        <item x="139"/>
        <item x="117"/>
        <item x="85"/>
        <item x="284"/>
        <item x="319"/>
        <item x="304"/>
        <item x="316"/>
        <item x="306"/>
        <item x="414"/>
        <item x="342"/>
        <item x="397"/>
        <item x="147"/>
        <item x="75"/>
        <item x="470"/>
        <item x="225"/>
        <item x="31"/>
        <item x="331"/>
        <item x="119"/>
        <item x="32"/>
        <item x="299"/>
        <item x="268"/>
        <item x="72"/>
        <item x="332"/>
        <item x="442"/>
        <item x="146"/>
        <item x="296"/>
        <item x="222"/>
        <item x="30"/>
        <item x="434"/>
        <item x="38"/>
        <item x="315"/>
        <item x="63"/>
        <item x="402"/>
        <item x="229"/>
        <item x="322"/>
        <item x="219"/>
        <item x="29"/>
        <item x="373"/>
        <item x="359"/>
        <item x="247"/>
        <item x="371"/>
        <item x="83"/>
        <item x="12"/>
        <item x="62"/>
        <item x="356"/>
        <item x="217"/>
        <item x="381"/>
        <item x="144"/>
        <item x="288"/>
        <item x="109"/>
        <item x="444"/>
        <item x="258"/>
        <item x="48"/>
        <item x="367"/>
        <item x="13"/>
        <item x="208"/>
        <item x="47"/>
        <item x="123"/>
        <item x="417"/>
        <item x="236"/>
        <item x="408"/>
        <item x="250"/>
        <item x="320"/>
        <item x="14"/>
        <item x="160"/>
        <item x="92"/>
        <item t="default"/>
      </items>
    </pivotField>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s>
  <rowFields count="1">
    <field x="11"/>
  </rowFields>
  <rowItems count="5">
    <i>
      <x v="1"/>
    </i>
    <i>
      <x/>
    </i>
    <i>
      <x v="3"/>
    </i>
    <i>
      <x v="2"/>
    </i>
    <i t="grand">
      <x/>
    </i>
  </rowItems>
  <colItems count="1">
    <i/>
  </colItems>
  <dataFields count="1">
    <dataField name="Count of Transaction Count" fld="9" subtotal="count" baseField="11" baseItem="0"/>
  </dataFields>
  <chartFormats count="2">
    <chartFormat chart="14" format="5"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O17:O18" firstHeaderRow="1" firstDataRow="1" firstDataCol="0"/>
  <pivotFields count="14">
    <pivotField showAll="0"/>
    <pivotField showAll="0"/>
    <pivotField showAll="0"/>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Loan Amount" fld="7" baseField="0" baseItem="0" numFmtId="44"/>
  </dataFields>
  <formats count="2">
    <format dxfId="32">
      <pivotArea outline="0" collapsedLevelsAreSubtotals="1" fieldPosition="0"/>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7:B36" firstHeaderRow="1" firstDataRow="1" firstDataCol="1"/>
  <pivotFields count="14">
    <pivotField showAll="0"/>
    <pivotField showAll="0"/>
    <pivotField showAll="0"/>
    <pivotField showAll="0">
      <items count="3">
        <item x="1"/>
        <item x="0"/>
        <item t="default"/>
      </items>
    </pivotField>
    <pivotField axis="axisRow" showAll="0">
      <items count="9">
        <item x="4"/>
        <item x="3"/>
        <item x="5"/>
        <item x="2"/>
        <item x="6"/>
        <item x="0"/>
        <item x="7"/>
        <item x="1"/>
        <item t="default"/>
      </items>
    </pivotField>
    <pivotField showAll="0"/>
    <pivotField showAll="0"/>
    <pivotField dataField="1" showAll="0"/>
    <pivotField showAll="0"/>
    <pivotField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Sum of Loan Amount" fld="7" baseField="4" baseItem="0"/>
  </dataFields>
  <conditionalFormats count="1">
    <conditionalFormat type="all" priority="2">
      <pivotAreas count="1">
        <pivotArea fieldPosition="0">
          <references count="1">
            <reference field="4" count="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6" firstHeaderRow="1" firstDataRow="1" firstDataCol="1"/>
  <pivotFields count="14">
    <pivotField showAll="0"/>
    <pivotField showAll="0"/>
    <pivotField showAll="0"/>
    <pivotField axis="axisRow" dataField="1" showAll="0">
      <items count="3">
        <item x="1"/>
        <item x="0"/>
        <item t="default"/>
      </items>
    </pivotField>
    <pivotField showAll="0">
      <items count="9">
        <item x="4"/>
        <item x="3"/>
        <item x="5"/>
        <item x="2"/>
        <item x="6"/>
        <item x="0"/>
        <item x="7"/>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Gender" fld="3" subtotal="count" baseField="3" baseItem="0"/>
  </dataFields>
  <chartFormats count="6">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3" count="1" selected="0">
            <x v="0"/>
          </reference>
        </references>
      </pivotArea>
    </chartFormat>
    <chartFormat chart="7" format="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internet bank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I12:J15" firstHeaderRow="1" firstDataRow="1" firstDataCol="1"/>
  <pivotFields count="14">
    <pivotField showAll="0"/>
    <pivotField showAll="0"/>
    <pivotField showAll="0"/>
    <pivotField showAll="0"/>
    <pivotField showAll="0">
      <items count="9">
        <item x="4"/>
        <item x="3"/>
        <item x="5"/>
        <item x="2"/>
        <item x="6"/>
        <item x="0"/>
        <item x="7"/>
        <item x="1"/>
        <item t="default"/>
      </items>
    </pivotField>
    <pivotField showAll="0">
      <items count="5">
        <item x="2"/>
        <item x="1"/>
        <item x="3"/>
        <item x="0"/>
        <item t="default"/>
      </items>
    </pivotField>
    <pivotField showAll="0"/>
    <pivotField showAll="0"/>
    <pivotField showAll="0"/>
    <pivotField showAll="0"/>
    <pivotField showAll="0"/>
    <pivotField showAll="0"/>
    <pivotField axis="axisRow" dataField="1" showAll="0">
      <items count="3">
        <item x="1"/>
        <item x="0"/>
        <item t="default"/>
      </items>
    </pivotField>
    <pivotField showAll="0"/>
  </pivotFields>
  <rowFields count="1">
    <field x="12"/>
  </rowFields>
  <rowItems count="3">
    <i>
      <x/>
    </i>
    <i>
      <x v="1"/>
    </i>
    <i t="grand">
      <x/>
    </i>
  </rowItems>
  <colItems count="1">
    <i/>
  </colItems>
  <dataFields count="1">
    <dataField name="Count of Internet Banking (Yes/No)" fld="12" subtotal="count" showDataAs="percentOfTotal" baseField="12" baseItem="0" numFmtId="9"/>
  </dataFields>
  <formats count="2">
    <format dxfId="34">
      <pivotArea outline="0" collapsedLevelsAreSubtotals="1" fieldPosition="0"/>
    </format>
    <format dxfId="33">
      <pivotArea outline="0" collapsedLevelsAreSubtotals="1" fieldPosition="0"/>
    </format>
  </formats>
  <chartFormats count="6">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2" count="1" selected="0">
            <x v="0"/>
          </reference>
        </references>
      </pivotArea>
    </chartFormat>
    <chartFormat chart="15" format="2">
      <pivotArea type="data" outline="0" fieldPosition="0">
        <references count="2">
          <reference field="4294967294" count="1" selected="0">
            <x v="0"/>
          </reference>
          <reference field="12"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2" count="1" selected="0">
            <x v="0"/>
          </reference>
        </references>
      </pivotArea>
    </chartFormat>
    <chartFormat chart="17"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account typ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0">
  <location ref="J2:K7" firstHeaderRow="1" firstDataRow="1" firstDataCol="1"/>
  <pivotFields count="14">
    <pivotField showAll="0"/>
    <pivotField showAll="0"/>
    <pivotField showAll="0"/>
    <pivotField showAll="0">
      <items count="3">
        <item x="1"/>
        <item x="0"/>
        <item t="default"/>
      </items>
    </pivotField>
    <pivotField showAll="0">
      <items count="9">
        <item x="4"/>
        <item x="3"/>
        <item x="5"/>
        <item x="2"/>
        <item x="6"/>
        <item x="0"/>
        <item x="7"/>
        <item x="1"/>
        <item t="default"/>
      </items>
    </pivotField>
    <pivotField axis="axisRow" dataField="1" showAll="0">
      <items count="5">
        <item x="2"/>
        <item x="1"/>
        <item x="3"/>
        <item x="0"/>
        <item t="default"/>
      </items>
    </pivotField>
    <pivotField showAll="0"/>
    <pivotField showAll="0"/>
    <pivotField showAll="0"/>
    <pivotField showAll="0"/>
    <pivotField showAll="0"/>
    <pivotField showAll="0">
      <items count="5">
        <item x="2"/>
        <item x="3"/>
        <item x="1"/>
        <item x="0"/>
        <item t="default"/>
      </items>
    </pivotField>
    <pivotField showAll="0">
      <items count="3">
        <item x="1"/>
        <item x="0"/>
        <item t="default"/>
      </items>
    </pivotField>
    <pivotField showAll="0"/>
  </pivotFields>
  <rowFields count="1">
    <field x="5"/>
  </rowFields>
  <rowItems count="5">
    <i>
      <x/>
    </i>
    <i>
      <x v="1"/>
    </i>
    <i>
      <x v="2"/>
    </i>
    <i>
      <x v="3"/>
    </i>
    <i t="grand">
      <x/>
    </i>
  </rowItems>
  <colItems count="1">
    <i/>
  </colItems>
  <dataFields count="1">
    <dataField name="Count of Account Type" fld="5" subtotal="count" showDataAs="percentOfTotal" baseField="5" baseItem="0" numFmtId="9"/>
  </dataFields>
  <formats count="2">
    <format dxfId="36">
      <pivotArea outline="0" collapsedLevelsAreSubtotals="1" fieldPosition="0"/>
    </format>
    <format dxfId="35">
      <pivotArea outline="0" collapsedLevelsAreSubtotals="1" fieldPosition="0"/>
    </format>
  </formats>
  <chartFormats count="10">
    <chartFormat chart="76" format="0" series="1">
      <pivotArea type="data" outline="0" fieldPosition="0">
        <references count="1">
          <reference field="4294967294" count="1" selected="0">
            <x v="0"/>
          </reference>
        </references>
      </pivotArea>
    </chartFormat>
    <chartFormat chart="76" format="1">
      <pivotArea type="data" outline="0" fieldPosition="0">
        <references count="2">
          <reference field="4294967294" count="1" selected="0">
            <x v="0"/>
          </reference>
          <reference field="5" count="1" selected="0">
            <x v="0"/>
          </reference>
        </references>
      </pivotArea>
    </chartFormat>
    <chartFormat chart="76" format="2">
      <pivotArea type="data" outline="0" fieldPosition="0">
        <references count="2">
          <reference field="4294967294" count="1" selected="0">
            <x v="0"/>
          </reference>
          <reference field="5" count="1" selected="0">
            <x v="1"/>
          </reference>
        </references>
      </pivotArea>
    </chartFormat>
    <chartFormat chart="76" format="3">
      <pivotArea type="data" outline="0" fieldPosition="0">
        <references count="2">
          <reference field="4294967294" count="1" selected="0">
            <x v="0"/>
          </reference>
          <reference field="5" count="1" selected="0">
            <x v="2"/>
          </reference>
        </references>
      </pivotArea>
    </chartFormat>
    <chartFormat chart="76" format="4">
      <pivotArea type="data" outline="0" fieldPosition="0">
        <references count="2">
          <reference field="4294967294" count="1" selected="0">
            <x v="0"/>
          </reference>
          <reference field="5" count="1" selected="0">
            <x v="3"/>
          </reference>
        </references>
      </pivotArea>
    </chartFormat>
    <chartFormat chart="79" format="10" series="1">
      <pivotArea type="data" outline="0" fieldPosition="0">
        <references count="1">
          <reference field="4294967294" count="1" selected="0">
            <x v="0"/>
          </reference>
        </references>
      </pivotArea>
    </chartFormat>
    <chartFormat chart="79" format="11">
      <pivotArea type="data" outline="0" fieldPosition="0">
        <references count="2">
          <reference field="4294967294" count="1" selected="0">
            <x v="0"/>
          </reference>
          <reference field="5" count="1" selected="0">
            <x v="0"/>
          </reference>
        </references>
      </pivotArea>
    </chartFormat>
    <chartFormat chart="79" format="12">
      <pivotArea type="data" outline="0" fieldPosition="0">
        <references count="2">
          <reference field="4294967294" count="1" selected="0">
            <x v="0"/>
          </reference>
          <reference field="5" count="1" selected="0">
            <x v="1"/>
          </reference>
        </references>
      </pivotArea>
    </chartFormat>
    <chartFormat chart="79" format="13">
      <pivotArea type="data" outline="0" fieldPosition="0">
        <references count="2">
          <reference field="4294967294" count="1" selected="0">
            <x v="0"/>
          </reference>
          <reference field="5" count="1" selected="0">
            <x v="2"/>
          </reference>
        </references>
      </pivotArea>
    </chartFormat>
    <chartFormat chart="79"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card typ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8" firstHeaderRow="1" firstDataRow="1" firstDataCol="1"/>
  <pivotFields count="14">
    <pivotField showAll="0"/>
    <pivotField showAll="0"/>
    <pivotField showAll="0"/>
    <pivotField showAll="0">
      <items count="3">
        <item x="1"/>
        <item x="0"/>
        <item t="default"/>
      </items>
    </pivotField>
    <pivotField showAll="0">
      <items count="9">
        <item x="4"/>
        <item x="3"/>
        <item x="5"/>
        <item x="2"/>
        <item x="6"/>
        <item x="0"/>
        <item x="7"/>
        <item x="1"/>
        <item t="default"/>
      </items>
    </pivotField>
    <pivotField showAll="0"/>
    <pivotField showAll="0"/>
    <pivotField showAll="0"/>
    <pivotField showAll="0"/>
    <pivotField showAll="0"/>
    <pivotField showAll="0"/>
    <pivotField axis="axisRow" dataField="1" showAll="0">
      <items count="5">
        <item x="3"/>
        <item x="2"/>
        <item x="1"/>
        <item x="0"/>
        <item t="default"/>
      </items>
    </pivotField>
    <pivotField showAll="0">
      <items count="3">
        <item x="1"/>
        <item x="0"/>
        <item t="default"/>
      </items>
    </pivotField>
    <pivotField showAll="0"/>
  </pivotFields>
  <rowFields count="1">
    <field x="11"/>
  </rowFields>
  <rowItems count="5">
    <i>
      <x/>
    </i>
    <i>
      <x v="1"/>
    </i>
    <i>
      <x v="2"/>
    </i>
    <i>
      <x v="3"/>
    </i>
    <i t="grand">
      <x/>
    </i>
  </rowItems>
  <colItems count="1">
    <i/>
  </colItems>
  <dataFields count="1">
    <dataField name="Count of Card Type" fld="11" subtotal="count" baseField="11"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ccount_Type" sourceName="Account Type">
  <pivotTables>
    <pivotTable tabId="3" name="account type"/>
  </pivotTables>
  <data>
    <tabular pivotCacheId="1">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nternet_Banking__Yes_No" sourceName="Internet Banking (Yes/No)">
  <pivotTables>
    <pivotTable tabId="3" name="internet banking"/>
    <pivotTable tabId="3" name="account type"/>
    <pivotTable tabId="3" name="city"/>
    <pivotTable tabId="3" name="transaction "/>
    <pivotTable tabId="8" name="card type"/>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transaction "/>
    <pivotTable tabId="3" name="gender"/>
    <pivotTable tabId="3" name="account type"/>
    <pivotTable tabId="3" name="city"/>
    <pivotTable tabId="8" name="card type"/>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rd_Type1" sourceName="Card Type">
  <pivotTables>
    <pivotTable tabId="8" name="card type"/>
    <pivotTable tabId="3" name="transaction "/>
    <pivotTable tabId="3" name="account type"/>
    <pivotTable tabId="3" name="city"/>
    <pivotTable tabId="3" name="satisfaction"/>
  </pivotTables>
  <data>
    <tabular pivotCacheId="1">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city"/>
    <pivotTable tabId="3" name="account type"/>
    <pivotTable tabId="3" name="gender"/>
    <pivotTable tabId="3" name="internet banking"/>
    <pivotTable tabId="3" name="satisfaction"/>
    <pivotTable tabId="3" name="transaction "/>
    <pivotTable tabId="8" name="card type"/>
  </pivotTables>
  <data>
    <tabular pivotCacheId="1">
      <items count="8">
        <i x="4" s="1"/>
        <i x="3" s="1"/>
        <i x="5" s="1"/>
        <i x="2" s="1"/>
        <i x="6" s="1"/>
        <i x="0" s="1"/>
        <i x="7"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Customer_Satisfaction_Rating" sourceName="Customer Satisfaction Rating">
  <extLst>
    <x:ext xmlns:x15="http://schemas.microsoft.com/office/spreadsheetml/2010/11/main" uri="{2F2917AC-EB37-4324-AD4E-5DD8C200BD13}">
      <x15:tableSlicerCache tableId="1" column="14"/>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ccount Type" cache="Slicer_Account_Type" caption="Account Type" rowHeight="234950"/>
  <slicer name="Internet Banking (Yes/No)" cache="Slicer_Internet_Banking__Yes_No" caption="Internet Banking (Yes/No)" rowHeight="234950"/>
  <slicer name="Gender" cache="Slicer_Gender" caption="Gender" rowHeight="234950"/>
  <slicer name="City"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Internet Banking (Yes/No) 1" cache="Slicer_Internet_Banking__Yes_No" caption="Internet Banking (Yes/No)" rowHeight="234950"/>
  <slicer name="Gender 1" cache="Slicer_Gender" caption="Gender" rowHeight="234950"/>
  <slicer name="Card Type 2" cache="Slicer_Card_Type1" caption=" card type " rowHeight="234950"/>
  <slicer name="City 1" cache="Slicer_City" caption="City"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Card Type 1" cache="Slicer_Card_Type1" caption=" card type "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Customer Satisfaction Rating" cache="Slicer_Customer_Satisfaction_Rating" caption="Customer Satisfaction Rating" rowHeight="234950"/>
</slicers>
</file>

<file path=xl/tables/table1.xml><?xml version="1.0" encoding="utf-8"?>
<table xmlns="http://schemas.openxmlformats.org/spreadsheetml/2006/main" id="1" name="Table1" displayName="Table1" ref="A2:N1503" totalsRowCount="1" headerRowDxfId="28">
  <autoFilter ref="A2:N1502"/>
  <tableColumns count="14">
    <tableColumn id="1" name="Customer ID" dataDxfId="27" totalsRowDxfId="26"/>
    <tableColumn id="2" name="Customer Name" dataDxfId="25" totalsRowDxfId="24"/>
    <tableColumn id="3" name="Age" dataDxfId="23" totalsRowDxfId="22"/>
    <tableColumn id="4" name="Gender" dataDxfId="21" totalsRowDxfId="20"/>
    <tableColumn id="5" name="City" dataDxfId="19" totalsRowDxfId="18"/>
    <tableColumn id="6" name="Account Type" dataDxfId="17" totalsRowDxfId="16"/>
    <tableColumn id="7" name="Account Balance" totalsRowFunction="custom" dataDxfId="15" totalsRowDxfId="14">
      <totalsRowFormula>SUM(G3:G1502)</totalsRowFormula>
    </tableColumn>
    <tableColumn id="8" name="Loan Amount" dataDxfId="13" totalsRowDxfId="12"/>
    <tableColumn id="9" name="Credit Score" dataDxfId="11" totalsRowDxfId="10"/>
    <tableColumn id="10" name="Transaction Count" dataDxfId="9" totalsRowDxfId="8"/>
    <tableColumn id="11" name="Monthly Income" dataDxfId="7" totalsRowDxfId="6"/>
    <tableColumn id="12" name="Card Type" dataDxfId="5" totalsRowDxfId="4"/>
    <tableColumn id="13" name="Internet Banking (Yes/No)" dataDxfId="3" totalsRowDxfId="2"/>
    <tableColumn id="14" name="Customer Satisfaction Rating" dataDxfId="1" totalsRowDxfId="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rinterSettings" Target="../printerSettings/printerSettings2.bin"/><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36"/>
  <sheetViews>
    <sheetView topLeftCell="B1" zoomScale="81" workbookViewId="0">
      <selection activeCell="H10" sqref="H10:H12"/>
    </sheetView>
  </sheetViews>
  <sheetFormatPr defaultRowHeight="14.4" x14ac:dyDescent="0.3"/>
  <cols>
    <col min="1" max="1" width="13.109375" customWidth="1"/>
    <col min="2" max="2" width="15.21875" customWidth="1"/>
    <col min="3" max="3" width="23.109375" customWidth="1"/>
    <col min="4" max="4" width="13.109375" customWidth="1"/>
    <col min="5" max="5" width="12" bestFit="1" customWidth="1"/>
    <col min="7" max="7" width="16" customWidth="1"/>
    <col min="8" max="8" width="24.44140625" customWidth="1"/>
    <col min="9" max="9" width="13.109375" customWidth="1"/>
    <col min="10" max="10" width="31.5546875" customWidth="1"/>
    <col min="11" max="11" width="20.5546875" customWidth="1"/>
    <col min="12" max="12" width="12.109375" customWidth="1"/>
    <col min="13" max="13" width="7" customWidth="1"/>
    <col min="14" max="14" width="7.33203125" customWidth="1"/>
    <col min="15" max="16" width="19.109375" bestFit="1" customWidth="1"/>
    <col min="17" max="17" width="13.109375" customWidth="1"/>
    <col min="18" max="18" width="35.6640625" customWidth="1"/>
    <col min="19" max="20" width="20.5546875" bestFit="1" customWidth="1"/>
    <col min="21" max="21" width="9" bestFit="1" customWidth="1"/>
    <col min="22" max="22" width="10.21875" bestFit="1" customWidth="1"/>
    <col min="23" max="25" width="9" bestFit="1" customWidth="1"/>
    <col min="26" max="26" width="10.77734375" bestFit="1" customWidth="1"/>
  </cols>
  <sheetData>
    <row r="2" spans="1:18" x14ac:dyDescent="0.3">
      <c r="J2" s="2" t="s">
        <v>3026</v>
      </c>
      <c r="K2" t="s">
        <v>3030</v>
      </c>
      <c r="Q2" s="2" t="s">
        <v>3026</v>
      </c>
      <c r="R2" t="s">
        <v>3039</v>
      </c>
    </row>
    <row r="3" spans="1:18" x14ac:dyDescent="0.3">
      <c r="A3" s="2" t="s">
        <v>3026</v>
      </c>
      <c r="B3" t="s">
        <v>3028</v>
      </c>
      <c r="D3" s="2" t="s">
        <v>3026</v>
      </c>
      <c r="E3" t="s">
        <v>3029</v>
      </c>
      <c r="G3" s="2" t="s">
        <v>3026</v>
      </c>
      <c r="H3" t="s">
        <v>3032</v>
      </c>
      <c r="J3" s="3" t="s">
        <v>39</v>
      </c>
      <c r="K3" s="5">
        <v>0.26133333333333331</v>
      </c>
      <c r="Q3" s="3" t="s">
        <v>45</v>
      </c>
      <c r="R3" s="15">
        <v>3.0359605911330054</v>
      </c>
    </row>
    <row r="4" spans="1:18" x14ac:dyDescent="0.3">
      <c r="A4" s="3" t="s">
        <v>23</v>
      </c>
      <c r="B4" s="4">
        <v>796</v>
      </c>
      <c r="D4" s="3" t="s">
        <v>45</v>
      </c>
      <c r="E4" s="4">
        <v>203</v>
      </c>
      <c r="G4" s="3" t="s">
        <v>40</v>
      </c>
      <c r="H4" s="4">
        <v>390</v>
      </c>
      <c r="J4" s="3" t="s">
        <v>25</v>
      </c>
      <c r="K4" s="5">
        <v>0.24266666666666667</v>
      </c>
      <c r="Q4" s="3" t="s">
        <v>38</v>
      </c>
      <c r="R4" s="15">
        <v>3.0631284916201134</v>
      </c>
    </row>
    <row r="5" spans="1:18" x14ac:dyDescent="0.3">
      <c r="A5" s="3" t="s">
        <v>16</v>
      </c>
      <c r="B5" s="4">
        <v>704</v>
      </c>
      <c r="D5" s="3" t="s">
        <v>38</v>
      </c>
      <c r="E5" s="4">
        <v>179</v>
      </c>
      <c r="G5" s="3" t="s">
        <v>30</v>
      </c>
      <c r="H5" s="4">
        <v>381</v>
      </c>
      <c r="J5" s="3" t="s">
        <v>81</v>
      </c>
      <c r="K5" s="5">
        <v>0.25466666666666665</v>
      </c>
      <c r="Q5" s="3" t="s">
        <v>48</v>
      </c>
      <c r="R5" s="15">
        <v>3.1527173913043494</v>
      </c>
    </row>
    <row r="6" spans="1:18" x14ac:dyDescent="0.3">
      <c r="A6" s="3" t="s">
        <v>3027</v>
      </c>
      <c r="B6" s="4">
        <v>1500</v>
      </c>
      <c r="D6" s="3" t="s">
        <v>48</v>
      </c>
      <c r="E6" s="4">
        <v>184</v>
      </c>
      <c r="G6" s="3" t="s">
        <v>19</v>
      </c>
      <c r="H6" s="4">
        <v>380</v>
      </c>
      <c r="J6" s="3" t="s">
        <v>18</v>
      </c>
      <c r="K6" s="5">
        <v>0.24133333333333334</v>
      </c>
      <c r="Q6" s="3" t="s">
        <v>29</v>
      </c>
      <c r="R6" s="15">
        <v>2.9723163841807905</v>
      </c>
    </row>
    <row r="7" spans="1:18" x14ac:dyDescent="0.3">
      <c r="D7" s="3" t="s">
        <v>29</v>
      </c>
      <c r="E7" s="4">
        <v>177</v>
      </c>
      <c r="G7" s="3" t="s">
        <v>26</v>
      </c>
      <c r="H7" s="4">
        <v>349</v>
      </c>
      <c r="J7" s="3" t="s">
        <v>3027</v>
      </c>
      <c r="K7" s="5">
        <v>1</v>
      </c>
      <c r="Q7" s="3" t="s">
        <v>55</v>
      </c>
      <c r="R7" s="15">
        <v>2.9303867403314912</v>
      </c>
    </row>
    <row r="8" spans="1:18" x14ac:dyDescent="0.3">
      <c r="D8" s="3" t="s">
        <v>55</v>
      </c>
      <c r="E8" s="4">
        <v>181</v>
      </c>
      <c r="G8" s="3" t="s">
        <v>3027</v>
      </c>
      <c r="H8" s="4">
        <v>1500</v>
      </c>
      <c r="Q8" s="3" t="s">
        <v>17</v>
      </c>
      <c r="R8" s="15">
        <v>2.8837563451776651</v>
      </c>
    </row>
    <row r="9" spans="1:18" x14ac:dyDescent="0.3">
      <c r="D9" s="3" t="s">
        <v>17</v>
      </c>
      <c r="E9" s="4">
        <v>197</v>
      </c>
      <c r="Q9" s="3" t="s">
        <v>76</v>
      </c>
      <c r="R9" s="15">
        <v>3.050555555555555</v>
      </c>
    </row>
    <row r="10" spans="1:18" x14ac:dyDescent="0.3">
      <c r="D10" s="3" t="s">
        <v>76</v>
      </c>
      <c r="E10" s="4">
        <v>180</v>
      </c>
      <c r="Q10" s="3" t="s">
        <v>24</v>
      </c>
      <c r="R10" s="15">
        <v>3.0552763819095499</v>
      </c>
    </row>
    <row r="11" spans="1:18" x14ac:dyDescent="0.3">
      <c r="D11" s="3" t="s">
        <v>24</v>
      </c>
      <c r="E11" s="4">
        <v>199</v>
      </c>
      <c r="I11" s="3"/>
      <c r="J11" s="4"/>
      <c r="Q11" s="3" t="s">
        <v>3027</v>
      </c>
      <c r="R11" s="15">
        <v>3.0176000000000016</v>
      </c>
    </row>
    <row r="12" spans="1:18" x14ac:dyDescent="0.3">
      <c r="D12" s="3" t="s">
        <v>3027</v>
      </c>
      <c r="E12" s="4">
        <v>1500</v>
      </c>
      <c r="I12" s="2" t="s">
        <v>3026</v>
      </c>
      <c r="J12" t="s">
        <v>3031</v>
      </c>
    </row>
    <row r="13" spans="1:18" x14ac:dyDescent="0.3">
      <c r="I13" s="3" t="s">
        <v>33</v>
      </c>
      <c r="J13" s="5">
        <v>0.48133333333333334</v>
      </c>
    </row>
    <row r="14" spans="1:18" x14ac:dyDescent="0.3">
      <c r="I14" s="3" t="s">
        <v>20</v>
      </c>
      <c r="J14" s="5">
        <v>0.51866666666666672</v>
      </c>
    </row>
    <row r="15" spans="1:18" x14ac:dyDescent="0.3">
      <c r="I15" s="3" t="s">
        <v>3027</v>
      </c>
      <c r="J15" s="5">
        <v>1</v>
      </c>
    </row>
    <row r="17" spans="1:15" x14ac:dyDescent="0.3">
      <c r="O17" t="s">
        <v>3033</v>
      </c>
    </row>
    <row r="18" spans="1:15" x14ac:dyDescent="0.3">
      <c r="O18" s="8">
        <v>1844768739.3000014</v>
      </c>
    </row>
    <row r="27" spans="1:15" x14ac:dyDescent="0.3">
      <c r="A27" s="2" t="s">
        <v>3026</v>
      </c>
      <c r="B27" t="s">
        <v>3033</v>
      </c>
    </row>
    <row r="28" spans="1:15" x14ac:dyDescent="0.3">
      <c r="A28" s="3" t="s">
        <v>45</v>
      </c>
      <c r="B28" s="4">
        <v>262332835.49999997</v>
      </c>
    </row>
    <row r="29" spans="1:15" x14ac:dyDescent="0.3">
      <c r="A29" s="3" t="s">
        <v>38</v>
      </c>
      <c r="B29" s="4">
        <v>215122464.31999987</v>
      </c>
    </row>
    <row r="30" spans="1:15" x14ac:dyDescent="0.3">
      <c r="A30" s="3" t="s">
        <v>48</v>
      </c>
      <c r="B30" s="4">
        <v>228316398.55000001</v>
      </c>
    </row>
    <row r="31" spans="1:15" x14ac:dyDescent="0.3">
      <c r="A31" s="3" t="s">
        <v>29</v>
      </c>
      <c r="B31" s="4">
        <v>218777906.13000005</v>
      </c>
    </row>
    <row r="32" spans="1:15" x14ac:dyDescent="0.3">
      <c r="A32" s="3" t="s">
        <v>55</v>
      </c>
      <c r="B32" s="4">
        <v>210800477.46000001</v>
      </c>
    </row>
    <row r="33" spans="1:2" x14ac:dyDescent="0.3">
      <c r="A33" s="3" t="s">
        <v>17</v>
      </c>
      <c r="B33" s="4">
        <v>219158842.83999997</v>
      </c>
    </row>
    <row r="34" spans="1:2" x14ac:dyDescent="0.3">
      <c r="A34" s="3" t="s">
        <v>76</v>
      </c>
      <c r="B34" s="4">
        <v>240438529.13999975</v>
      </c>
    </row>
    <row r="35" spans="1:2" x14ac:dyDescent="0.3">
      <c r="A35" s="3" t="s">
        <v>24</v>
      </c>
      <c r="B35" s="4">
        <v>249821285.35999987</v>
      </c>
    </row>
    <row r="36" spans="1:2" x14ac:dyDescent="0.3">
      <c r="A36" s="3" t="s">
        <v>3027</v>
      </c>
      <c r="B36" s="4">
        <v>1844768739.2999995</v>
      </c>
    </row>
  </sheetData>
  <conditionalFormatting pivot="1" sqref="B28:B35">
    <cfRule type="top10" dxfId="37" priority="2" rank="5"/>
  </conditionalFormatting>
  <pageMargins left="0.7" right="0.7" top="0.75" bottom="0.75" header="0.3" footer="0.3"/>
  <pageSetup orientation="portrait" horizontalDpi="0" verticalDpi="0" r:id="rId9"/>
  <drawing r:id="rId10"/>
  <extLst>
    <ext xmlns:x14="http://schemas.microsoft.com/office/spreadsheetml/2009/9/main" uri="{78C0D931-6437-407d-A8EE-F0AAD7539E65}">
      <x14:conditionalFormattings>
        <x14:conditionalFormatting xmlns:xm="http://schemas.microsoft.com/office/excel/2006/main" pivot="1">
          <x14:cfRule type="iconSet" priority="1" id="{68FAC0A0-C204-4CCA-8DD6-B20B365479A1}">
            <x14:iconSet iconSet="3Stars">
              <x14:cfvo type="percent">
                <xm:f>0</xm:f>
              </x14:cfvo>
              <x14:cfvo type="percent">
                <xm:f>33</xm:f>
              </x14:cfvo>
              <x14:cfvo type="percent">
                <xm:f>67</xm:f>
              </x14:cfvo>
            </x14:iconSet>
          </x14:cfRule>
          <xm:sqref>R3:R11</xm:sqref>
        </x14:conditionalFormatting>
      </x14:conditionalFormattings>
    </ex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
  <sheetViews>
    <sheetView showGridLines="0" zoomScale="87" workbookViewId="0">
      <selection activeCell="Z25" sqref="Z25"/>
    </sheetView>
  </sheetViews>
  <sheetFormatPr defaultRowHeight="14.4" x14ac:dyDescent="0.3"/>
  <cols>
    <col min="22" max="22" width="10.109375" customWidth="1"/>
    <col min="24" max="24" width="11.77734375" customWidth="1"/>
  </cols>
  <sheetData>
    <row r="1" spans="1:24" x14ac:dyDescent="0.3">
      <c r="A1" s="15"/>
    </row>
    <row r="4" spans="1:24" x14ac:dyDescent="0.3">
      <c r="X4" s="15"/>
    </row>
  </sheetData>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2" id="{FC538B7B-26E8-45DA-984C-317AD17B77C9}">
            <x14:iconSet iconSet="3Stars">
              <x14:cfvo type="percent">
                <xm:f>0</xm:f>
              </x14:cfvo>
              <x14:cfvo type="percent">
                <xm:f>33</xm:f>
              </x14:cfvo>
              <x14:cfvo type="percent">
                <xm:f>67</xm:f>
              </x14:cfvo>
            </x14:iconSet>
          </x14:cfRule>
          <xm:sqref>A1</xm:sqref>
        </x14:conditionalFormatting>
        <x14:conditionalFormatting xmlns:xm="http://schemas.microsoft.com/office/excel/2006/main">
          <x14:cfRule type="iconSet" priority="1" id="{76506F1F-A170-4B9A-A001-3A2BA017745F}">
            <x14:iconSet iconSet="3Stars">
              <x14:cfvo type="percent">
                <xm:f>0</xm:f>
              </x14:cfvo>
              <x14:cfvo type="percent">
                <xm:f>33</xm:f>
              </x14:cfvo>
              <x14:cfvo type="percent">
                <xm:f>67</xm:f>
              </x14:cfvo>
            </x14:iconSet>
          </x14:cfRule>
          <xm:sqref>X4</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L19" sqref="L19"/>
    </sheetView>
  </sheetViews>
  <sheetFormatPr defaultRowHeight="14.4" x14ac:dyDescent="0.3"/>
  <cols>
    <col min="1" max="1" width="15.33203125" customWidth="1"/>
    <col min="2" max="2" width="17.44140625" customWidth="1"/>
  </cols>
  <sheetData>
    <row r="3" spans="1:2" x14ac:dyDescent="0.3">
      <c r="A3" s="2" t="s">
        <v>3026</v>
      </c>
      <c r="B3" t="s">
        <v>3040</v>
      </c>
    </row>
    <row r="4" spans="1:2" x14ac:dyDescent="0.3">
      <c r="A4" s="3" t="s">
        <v>40</v>
      </c>
      <c r="B4" s="4">
        <v>390</v>
      </c>
    </row>
    <row r="5" spans="1:2" x14ac:dyDescent="0.3">
      <c r="A5" s="3" t="s">
        <v>30</v>
      </c>
      <c r="B5" s="4">
        <v>381</v>
      </c>
    </row>
    <row r="6" spans="1:2" x14ac:dyDescent="0.3">
      <c r="A6" s="3" t="s">
        <v>26</v>
      </c>
      <c r="B6" s="4">
        <v>349</v>
      </c>
    </row>
    <row r="7" spans="1:2" x14ac:dyDescent="0.3">
      <c r="A7" s="3" t="s">
        <v>19</v>
      </c>
      <c r="B7" s="4">
        <v>380</v>
      </c>
    </row>
    <row r="8" spans="1:2" x14ac:dyDescent="0.3">
      <c r="A8" s="3" t="s">
        <v>3027</v>
      </c>
      <c r="B8" s="4">
        <v>1500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03"/>
  <sheetViews>
    <sheetView tabSelected="1" zoomScale="70" workbookViewId="0">
      <selection activeCell="A2" sqref="A2:N1502"/>
    </sheetView>
  </sheetViews>
  <sheetFormatPr defaultRowHeight="14.4" x14ac:dyDescent="0.3"/>
  <cols>
    <col min="1" max="1" width="13" style="1" customWidth="1"/>
    <col min="2" max="2" width="21.33203125" style="1" bestFit="1" customWidth="1"/>
    <col min="3" max="3" width="5.88671875" style="1" customWidth="1"/>
    <col min="4" max="4" width="8.77734375" style="1" customWidth="1"/>
    <col min="5" max="5" width="10.6640625" style="1" bestFit="1" customWidth="1"/>
    <col min="6" max="6" width="13.88671875" style="1" customWidth="1"/>
    <col min="7" max="7" width="18.5546875" style="1" bestFit="1" customWidth="1"/>
    <col min="8" max="8" width="13.77734375" style="1" customWidth="1"/>
    <col min="9" max="9" width="12.77734375" style="1" customWidth="1"/>
    <col min="10" max="10" width="20" style="1" bestFit="1" customWidth="1"/>
    <col min="11" max="11" width="18.5546875" style="1" bestFit="1" customWidth="1"/>
    <col min="12" max="12" width="15.33203125" style="1" bestFit="1" customWidth="1"/>
    <col min="13" max="13" width="23.77734375" style="1" customWidth="1"/>
    <col min="14" max="14" width="26.33203125" style="1" customWidth="1"/>
    <col min="15" max="15" width="8.88671875" style="1"/>
    <col min="16" max="16" width="20" style="1" bestFit="1" customWidth="1"/>
    <col min="17" max="16384" width="8.88671875" style="1"/>
  </cols>
  <sheetData>
    <row r="1" spans="1:16" ht="33" customHeight="1" x14ac:dyDescent="0.3">
      <c r="A1" s="16" t="s">
        <v>3025</v>
      </c>
      <c r="B1" s="17"/>
      <c r="C1" s="17"/>
      <c r="D1" s="17"/>
      <c r="E1" s="17"/>
      <c r="F1" s="17"/>
      <c r="G1" s="17"/>
      <c r="H1" s="17"/>
      <c r="I1" s="17"/>
      <c r="J1" s="17"/>
      <c r="K1" s="17"/>
      <c r="L1" s="17"/>
      <c r="M1" s="17"/>
      <c r="N1" s="17"/>
    </row>
    <row r="2" spans="1:16" x14ac:dyDescent="0.3">
      <c r="A2" s="1" t="s">
        <v>0</v>
      </c>
      <c r="B2" s="1" t="s">
        <v>1</v>
      </c>
      <c r="C2" s="1" t="s">
        <v>2</v>
      </c>
      <c r="D2" s="1" t="s">
        <v>3</v>
      </c>
      <c r="E2" s="1" t="s">
        <v>4</v>
      </c>
      <c r="F2" s="1" t="s">
        <v>5</v>
      </c>
      <c r="G2" s="1" t="s">
        <v>6</v>
      </c>
      <c r="H2" s="1" t="s">
        <v>7</v>
      </c>
      <c r="I2" s="1" t="s">
        <v>8</v>
      </c>
      <c r="J2" s="1" t="s">
        <v>9</v>
      </c>
      <c r="K2" s="1" t="s">
        <v>10</v>
      </c>
      <c r="L2" s="1" t="s">
        <v>11</v>
      </c>
      <c r="M2" s="1" t="s">
        <v>12</v>
      </c>
      <c r="N2" s="1" t="s">
        <v>13</v>
      </c>
    </row>
    <row r="3" spans="1:16" x14ac:dyDescent="0.3">
      <c r="A3" s="1" t="s">
        <v>14</v>
      </c>
      <c r="B3" s="1" t="s">
        <v>15</v>
      </c>
      <c r="C3" s="1">
        <v>58</v>
      </c>
      <c r="D3" s="1" t="s">
        <v>16</v>
      </c>
      <c r="E3" s="1" t="s">
        <v>17</v>
      </c>
      <c r="F3" s="1" t="s">
        <v>18</v>
      </c>
      <c r="G3" s="9">
        <v>42391.08</v>
      </c>
      <c r="H3" s="1">
        <v>687573.3</v>
      </c>
      <c r="I3" s="1">
        <v>528</v>
      </c>
      <c r="J3" s="1">
        <v>76</v>
      </c>
      <c r="K3" s="1">
        <v>49184</v>
      </c>
      <c r="L3" s="1" t="s">
        <v>19</v>
      </c>
      <c r="M3" s="1" t="s">
        <v>20</v>
      </c>
      <c r="N3" s="1">
        <v>3.9</v>
      </c>
      <c r="P3" s="1">
        <f>COUNTIF(Table1[[#All],[Gender]],"Female")</f>
        <v>796</v>
      </c>
    </row>
    <row r="4" spans="1:16" x14ac:dyDescent="0.3">
      <c r="A4" s="1" t="s">
        <v>21</v>
      </c>
      <c r="B4" s="1" t="s">
        <v>22</v>
      </c>
      <c r="C4" s="1">
        <v>31</v>
      </c>
      <c r="D4" s="1" t="s">
        <v>23</v>
      </c>
      <c r="E4" s="1" t="s">
        <v>24</v>
      </c>
      <c r="F4" s="1" t="s">
        <v>25</v>
      </c>
      <c r="G4" s="9">
        <v>760506.16</v>
      </c>
      <c r="H4" s="1">
        <v>66339.92</v>
      </c>
      <c r="I4" s="1">
        <v>503</v>
      </c>
      <c r="J4" s="1">
        <v>371</v>
      </c>
      <c r="K4" s="1">
        <v>80990</v>
      </c>
      <c r="L4" s="1" t="s">
        <v>26</v>
      </c>
      <c r="M4" s="1" t="s">
        <v>20</v>
      </c>
      <c r="N4" s="1">
        <v>3.6</v>
      </c>
    </row>
    <row r="5" spans="1:16" x14ac:dyDescent="0.3">
      <c r="A5" s="1" t="s">
        <v>27</v>
      </c>
      <c r="B5" s="1" t="s">
        <v>28</v>
      </c>
      <c r="C5" s="1">
        <v>66</v>
      </c>
      <c r="D5" s="1" t="s">
        <v>23</v>
      </c>
      <c r="E5" s="1" t="s">
        <v>29</v>
      </c>
      <c r="F5" s="1" t="s">
        <v>18</v>
      </c>
      <c r="G5" s="9">
        <v>243690.68</v>
      </c>
      <c r="H5" s="1">
        <v>1056536</v>
      </c>
      <c r="I5" s="1">
        <v>584</v>
      </c>
      <c r="J5" s="1">
        <v>84</v>
      </c>
      <c r="K5" s="1">
        <v>231240</v>
      </c>
      <c r="L5" s="1" t="s">
        <v>30</v>
      </c>
      <c r="M5" s="1" t="s">
        <v>20</v>
      </c>
      <c r="N5" s="1">
        <v>1.9</v>
      </c>
    </row>
    <row r="6" spans="1:16" x14ac:dyDescent="0.3">
      <c r="A6" s="1" t="s">
        <v>31</v>
      </c>
      <c r="B6" s="1" t="s">
        <v>32</v>
      </c>
      <c r="C6" s="1">
        <v>40</v>
      </c>
      <c r="D6" s="1" t="s">
        <v>23</v>
      </c>
      <c r="E6" s="1" t="s">
        <v>17</v>
      </c>
      <c r="F6" s="1" t="s">
        <v>18</v>
      </c>
      <c r="G6" s="9">
        <v>519213.81</v>
      </c>
      <c r="H6" s="1">
        <v>661302.17000000004</v>
      </c>
      <c r="I6" s="1">
        <v>344</v>
      </c>
      <c r="J6" s="1">
        <v>378</v>
      </c>
      <c r="K6" s="1">
        <v>242165</v>
      </c>
      <c r="L6" s="1" t="s">
        <v>26</v>
      </c>
      <c r="M6" s="1" t="s">
        <v>33</v>
      </c>
      <c r="N6" s="1">
        <v>2.8</v>
      </c>
      <c r="P6" s="6" t="s">
        <v>3034</v>
      </c>
    </row>
    <row r="7" spans="1:16" x14ac:dyDescent="0.3">
      <c r="A7" s="1" t="s">
        <v>34</v>
      </c>
      <c r="B7" s="1" t="s">
        <v>35</v>
      </c>
      <c r="C7" s="1">
        <v>54</v>
      </c>
      <c r="D7" s="1" t="s">
        <v>23</v>
      </c>
      <c r="E7" s="1" t="s">
        <v>24</v>
      </c>
      <c r="F7" s="1" t="s">
        <v>18</v>
      </c>
      <c r="G7" s="9">
        <v>1058334.8999999999</v>
      </c>
      <c r="H7" s="1">
        <v>114560.96000000001</v>
      </c>
      <c r="I7" s="1">
        <v>533</v>
      </c>
      <c r="J7" s="1">
        <v>400</v>
      </c>
      <c r="K7" s="1">
        <v>70407</v>
      </c>
      <c r="L7" s="1" t="s">
        <v>30</v>
      </c>
      <c r="M7" s="1" t="s">
        <v>33</v>
      </c>
      <c r="N7" s="1">
        <v>2.2000000000000002</v>
      </c>
      <c r="P7" s="7">
        <f>COUNTA(Table1[Customer ID])</f>
        <v>1500</v>
      </c>
    </row>
    <row r="8" spans="1:16" x14ac:dyDescent="0.3">
      <c r="A8" s="1" t="s">
        <v>36</v>
      </c>
      <c r="B8" s="1" t="s">
        <v>37</v>
      </c>
      <c r="C8" s="1">
        <v>47</v>
      </c>
      <c r="D8" s="1" t="s">
        <v>23</v>
      </c>
      <c r="E8" s="1" t="s">
        <v>38</v>
      </c>
      <c r="F8" s="1" t="s">
        <v>39</v>
      </c>
      <c r="G8" s="9">
        <v>1251995.0900000001</v>
      </c>
      <c r="H8" s="1">
        <v>406635.24</v>
      </c>
      <c r="I8" s="1">
        <v>663</v>
      </c>
      <c r="J8" s="1">
        <v>112</v>
      </c>
      <c r="K8" s="1">
        <v>186640</v>
      </c>
      <c r="L8" s="1" t="s">
        <v>40</v>
      </c>
      <c r="M8" s="1" t="s">
        <v>33</v>
      </c>
      <c r="N8" s="1">
        <v>3.7</v>
      </c>
    </row>
    <row r="9" spans="1:16" x14ac:dyDescent="0.3">
      <c r="A9" s="1" t="s">
        <v>41</v>
      </c>
      <c r="B9" s="1" t="s">
        <v>42</v>
      </c>
      <c r="C9" s="1">
        <v>42</v>
      </c>
      <c r="D9" s="1" t="s">
        <v>23</v>
      </c>
      <c r="E9" s="1" t="s">
        <v>24</v>
      </c>
      <c r="F9" s="1" t="s">
        <v>18</v>
      </c>
      <c r="G9" s="9">
        <v>1484337.41</v>
      </c>
      <c r="H9" s="1">
        <v>1599999.4</v>
      </c>
      <c r="I9" s="1">
        <v>870</v>
      </c>
      <c r="J9" s="1">
        <v>117</v>
      </c>
      <c r="K9" s="1">
        <v>90765</v>
      </c>
      <c r="L9" s="1" t="s">
        <v>26</v>
      </c>
      <c r="M9" s="1" t="s">
        <v>33</v>
      </c>
      <c r="N9" s="1">
        <v>3.7</v>
      </c>
      <c r="P9" s="1" t="s">
        <v>3035</v>
      </c>
    </row>
    <row r="10" spans="1:16" x14ac:dyDescent="0.3">
      <c r="A10" s="1" t="s">
        <v>43</v>
      </c>
      <c r="B10" s="1" t="s">
        <v>44</v>
      </c>
      <c r="C10" s="1">
        <v>35</v>
      </c>
      <c r="D10" s="1" t="s">
        <v>23</v>
      </c>
      <c r="E10" s="1" t="s">
        <v>45</v>
      </c>
      <c r="F10" s="1" t="s">
        <v>39</v>
      </c>
      <c r="G10" s="9">
        <v>320419.34999999998</v>
      </c>
      <c r="H10" s="1">
        <v>2357274.29</v>
      </c>
      <c r="I10" s="1">
        <v>622</v>
      </c>
      <c r="J10" s="1">
        <v>113</v>
      </c>
      <c r="K10" s="1">
        <v>37350</v>
      </c>
      <c r="L10" s="1" t="s">
        <v>26</v>
      </c>
      <c r="M10" s="1" t="s">
        <v>20</v>
      </c>
      <c r="N10" s="1">
        <v>3.6</v>
      </c>
      <c r="P10" s="7">
        <f>SUM(Table1[Account Balance])</f>
        <v>1138636583.5199993</v>
      </c>
    </row>
    <row r="11" spans="1:16" x14ac:dyDescent="0.3">
      <c r="A11" s="1" t="s">
        <v>46</v>
      </c>
      <c r="B11" s="1" t="s">
        <v>47</v>
      </c>
      <c r="C11" s="1">
        <v>33</v>
      </c>
      <c r="D11" s="1" t="s">
        <v>23</v>
      </c>
      <c r="E11" s="1" t="s">
        <v>48</v>
      </c>
      <c r="F11" s="1" t="s">
        <v>39</v>
      </c>
      <c r="G11" s="9">
        <v>844245.36</v>
      </c>
      <c r="H11" s="1">
        <v>656854.02</v>
      </c>
      <c r="I11" s="1">
        <v>898</v>
      </c>
      <c r="J11" s="1">
        <v>224</v>
      </c>
      <c r="K11" s="1">
        <v>215294</v>
      </c>
      <c r="L11" s="1" t="s">
        <v>40</v>
      </c>
      <c r="M11" s="1" t="s">
        <v>33</v>
      </c>
      <c r="N11" s="1">
        <v>4.5999999999999996</v>
      </c>
    </row>
    <row r="12" spans="1:16" x14ac:dyDescent="0.3">
      <c r="A12" s="1" t="s">
        <v>49</v>
      </c>
      <c r="B12" s="1" t="s">
        <v>50</v>
      </c>
      <c r="C12" s="1">
        <v>23</v>
      </c>
      <c r="D12" s="1" t="s">
        <v>23</v>
      </c>
      <c r="E12" s="1" t="s">
        <v>17</v>
      </c>
      <c r="F12" s="1" t="s">
        <v>25</v>
      </c>
      <c r="G12" s="9">
        <v>75438.98</v>
      </c>
      <c r="H12" s="1">
        <v>274122.83</v>
      </c>
      <c r="I12" s="1">
        <v>463</v>
      </c>
      <c r="J12" s="1">
        <v>410</v>
      </c>
      <c r="K12" s="1">
        <v>218123</v>
      </c>
      <c r="L12" s="1" t="s">
        <v>30</v>
      </c>
      <c r="M12" s="1" t="s">
        <v>33</v>
      </c>
      <c r="N12" s="1">
        <v>3.7</v>
      </c>
      <c r="P12" s="1" t="s">
        <v>3036</v>
      </c>
    </row>
    <row r="13" spans="1:16" x14ac:dyDescent="0.3">
      <c r="A13" s="1" t="s">
        <v>51</v>
      </c>
      <c r="B13" s="1" t="s">
        <v>52</v>
      </c>
      <c r="C13" s="1">
        <v>53</v>
      </c>
      <c r="D13" s="1" t="s">
        <v>23</v>
      </c>
      <c r="E13" s="1" t="s">
        <v>48</v>
      </c>
      <c r="F13" s="1" t="s">
        <v>18</v>
      </c>
      <c r="G13" s="9">
        <v>1413934.14</v>
      </c>
      <c r="H13" s="1">
        <v>1700708.53</v>
      </c>
      <c r="I13" s="1">
        <v>417</v>
      </c>
      <c r="J13" s="1">
        <v>354</v>
      </c>
      <c r="K13" s="1">
        <v>245648</v>
      </c>
      <c r="L13" s="1" t="s">
        <v>26</v>
      </c>
      <c r="M13" s="1" t="s">
        <v>33</v>
      </c>
      <c r="N13" s="1">
        <v>4.5</v>
      </c>
      <c r="P13" s="1">
        <f>SUM(Table1[Loan Amount])</f>
        <v>1844768739.3000014</v>
      </c>
    </row>
    <row r="14" spans="1:16" x14ac:dyDescent="0.3">
      <c r="A14" s="1" t="s">
        <v>53</v>
      </c>
      <c r="B14" s="1" t="s">
        <v>54</v>
      </c>
      <c r="C14" s="1">
        <v>28</v>
      </c>
      <c r="D14" s="1" t="s">
        <v>23</v>
      </c>
      <c r="E14" s="1" t="s">
        <v>55</v>
      </c>
      <c r="F14" s="1" t="s">
        <v>39</v>
      </c>
      <c r="G14" s="9">
        <v>9851.75</v>
      </c>
      <c r="H14" s="1">
        <v>1805230.15</v>
      </c>
      <c r="I14" s="1">
        <v>569</v>
      </c>
      <c r="J14" s="1">
        <v>261</v>
      </c>
      <c r="K14" s="1">
        <v>138940</v>
      </c>
      <c r="L14" s="1" t="s">
        <v>40</v>
      </c>
      <c r="M14" s="1" t="s">
        <v>33</v>
      </c>
      <c r="N14" s="1">
        <v>4</v>
      </c>
    </row>
    <row r="15" spans="1:16" x14ac:dyDescent="0.3">
      <c r="A15" s="1" t="s">
        <v>56</v>
      </c>
      <c r="B15" s="1" t="s">
        <v>57</v>
      </c>
      <c r="C15" s="1">
        <v>66</v>
      </c>
      <c r="D15" s="1" t="s">
        <v>23</v>
      </c>
      <c r="E15" s="1" t="s">
        <v>45</v>
      </c>
      <c r="F15" s="1" t="s">
        <v>18</v>
      </c>
      <c r="G15" s="9">
        <v>811371.65</v>
      </c>
      <c r="H15" s="1">
        <v>1946566.2</v>
      </c>
      <c r="I15" s="1">
        <v>843</v>
      </c>
      <c r="J15" s="1">
        <v>475</v>
      </c>
      <c r="K15" s="1">
        <v>62349</v>
      </c>
      <c r="L15" s="1" t="s">
        <v>19</v>
      </c>
      <c r="M15" s="1" t="s">
        <v>33</v>
      </c>
      <c r="N15" s="1">
        <v>1</v>
      </c>
      <c r="P15" s="1" t="s">
        <v>3037</v>
      </c>
    </row>
    <row r="16" spans="1:16" x14ac:dyDescent="0.3">
      <c r="A16" s="1" t="s">
        <v>58</v>
      </c>
      <c r="B16" s="1" t="s">
        <v>59</v>
      </c>
      <c r="C16" s="1">
        <v>69</v>
      </c>
      <c r="D16" s="1" t="s">
        <v>23</v>
      </c>
      <c r="E16" s="1" t="s">
        <v>29</v>
      </c>
      <c r="F16" s="1" t="s">
        <v>39</v>
      </c>
      <c r="G16" s="9">
        <v>362981.2</v>
      </c>
      <c r="H16" s="1">
        <v>602178.98</v>
      </c>
      <c r="I16" s="1">
        <v>880</v>
      </c>
      <c r="J16" s="1">
        <v>489</v>
      </c>
      <c r="K16" s="1">
        <v>100612</v>
      </c>
      <c r="L16" s="1" t="s">
        <v>40</v>
      </c>
      <c r="M16" s="1" t="s">
        <v>33</v>
      </c>
      <c r="N16" s="1">
        <v>1.3</v>
      </c>
      <c r="P16" s="14">
        <f>AVERAGE(Table1[Credit Score])</f>
        <v>604.08533333333332</v>
      </c>
    </row>
    <row r="17" spans="1:16" x14ac:dyDescent="0.3">
      <c r="A17" s="1" t="s">
        <v>60</v>
      </c>
      <c r="B17" s="1" t="s">
        <v>61</v>
      </c>
      <c r="C17" s="1">
        <v>53</v>
      </c>
      <c r="D17" s="1" t="s">
        <v>16</v>
      </c>
      <c r="E17" s="1" t="s">
        <v>55</v>
      </c>
      <c r="F17" s="1" t="s">
        <v>25</v>
      </c>
      <c r="G17" s="9">
        <v>401259.66</v>
      </c>
      <c r="H17" s="1">
        <v>2181082.6</v>
      </c>
      <c r="I17" s="1">
        <v>733</v>
      </c>
      <c r="J17" s="1">
        <v>498</v>
      </c>
      <c r="K17" s="1">
        <v>63287</v>
      </c>
      <c r="L17" s="1" t="s">
        <v>26</v>
      </c>
      <c r="M17" s="1" t="s">
        <v>33</v>
      </c>
      <c r="N17" s="1">
        <v>1.8</v>
      </c>
    </row>
    <row r="18" spans="1:16" x14ac:dyDescent="0.3">
      <c r="A18" s="1" t="s">
        <v>62</v>
      </c>
      <c r="B18" s="1" t="s">
        <v>63</v>
      </c>
      <c r="C18" s="1">
        <v>51</v>
      </c>
      <c r="D18" s="1" t="s">
        <v>16</v>
      </c>
      <c r="E18" s="1" t="s">
        <v>24</v>
      </c>
      <c r="F18" s="1" t="s">
        <v>18</v>
      </c>
      <c r="G18" s="9">
        <v>185901.27</v>
      </c>
      <c r="H18" s="1">
        <v>561743.34</v>
      </c>
      <c r="I18" s="1">
        <v>646</v>
      </c>
      <c r="J18" s="1">
        <v>15</v>
      </c>
      <c r="K18" s="1">
        <v>138354</v>
      </c>
      <c r="L18" s="1" t="s">
        <v>19</v>
      </c>
      <c r="M18" s="1" t="s">
        <v>20</v>
      </c>
      <c r="N18" s="1">
        <v>3.4</v>
      </c>
      <c r="P18" s="1" t="s">
        <v>3038</v>
      </c>
    </row>
    <row r="19" spans="1:16" x14ac:dyDescent="0.3">
      <c r="A19" s="1" t="s">
        <v>64</v>
      </c>
      <c r="B19" s="1" t="s">
        <v>65</v>
      </c>
      <c r="C19" s="1">
        <v>32</v>
      </c>
      <c r="D19" s="1" t="s">
        <v>23</v>
      </c>
      <c r="E19" s="1" t="s">
        <v>24</v>
      </c>
      <c r="F19" s="1" t="s">
        <v>39</v>
      </c>
      <c r="G19" s="9">
        <v>1358602.92</v>
      </c>
      <c r="H19" s="1">
        <v>2149088.5</v>
      </c>
      <c r="I19" s="1">
        <v>372</v>
      </c>
      <c r="J19" s="1">
        <v>268</v>
      </c>
      <c r="K19" s="1">
        <v>37668</v>
      </c>
      <c r="L19" s="1" t="s">
        <v>30</v>
      </c>
      <c r="M19" s="1" t="s">
        <v>20</v>
      </c>
      <c r="N19" s="1">
        <v>2</v>
      </c>
      <c r="P19" s="7">
        <f>SUM(Table1[Transaction Count])</f>
        <v>387759</v>
      </c>
    </row>
    <row r="20" spans="1:16" x14ac:dyDescent="0.3">
      <c r="A20" s="1" t="s">
        <v>66</v>
      </c>
      <c r="B20" s="1" t="s">
        <v>67</v>
      </c>
      <c r="C20" s="1">
        <v>68</v>
      </c>
      <c r="D20" s="1" t="s">
        <v>23</v>
      </c>
      <c r="E20" s="1" t="s">
        <v>17</v>
      </c>
      <c r="F20" s="1" t="s">
        <v>25</v>
      </c>
      <c r="G20" s="9">
        <v>1212208.01</v>
      </c>
      <c r="H20" s="1">
        <v>476024.79</v>
      </c>
      <c r="I20" s="1">
        <v>399</v>
      </c>
      <c r="J20" s="1">
        <v>342</v>
      </c>
      <c r="K20" s="1">
        <v>143987</v>
      </c>
      <c r="L20" s="1" t="s">
        <v>19</v>
      </c>
      <c r="M20" s="1" t="s">
        <v>20</v>
      </c>
      <c r="N20" s="1">
        <v>2.7</v>
      </c>
    </row>
    <row r="21" spans="1:16" x14ac:dyDescent="0.3">
      <c r="A21" s="1" t="s">
        <v>68</v>
      </c>
      <c r="B21" s="1" t="s">
        <v>69</v>
      </c>
      <c r="C21" s="1">
        <v>21</v>
      </c>
      <c r="D21" s="1" t="s">
        <v>23</v>
      </c>
      <c r="E21" s="1" t="s">
        <v>38</v>
      </c>
      <c r="F21" s="1" t="s">
        <v>25</v>
      </c>
      <c r="G21" s="9">
        <v>1093679.31</v>
      </c>
      <c r="H21" s="1">
        <v>2001481.28</v>
      </c>
      <c r="I21" s="1">
        <v>411</v>
      </c>
      <c r="J21" s="1">
        <v>132</v>
      </c>
      <c r="K21" s="1">
        <v>125544</v>
      </c>
      <c r="L21" s="1" t="s">
        <v>40</v>
      </c>
      <c r="M21" s="1" t="s">
        <v>33</v>
      </c>
      <c r="N21" s="1">
        <v>1.8</v>
      </c>
    </row>
    <row r="22" spans="1:16" x14ac:dyDescent="0.3">
      <c r="A22" s="1" t="s">
        <v>70</v>
      </c>
      <c r="B22" s="1" t="s">
        <v>71</v>
      </c>
      <c r="C22" s="1">
        <v>47</v>
      </c>
      <c r="D22" s="1" t="s">
        <v>16</v>
      </c>
      <c r="E22" s="1" t="s">
        <v>29</v>
      </c>
      <c r="F22" s="1" t="s">
        <v>39</v>
      </c>
      <c r="G22" s="9">
        <v>1312356.5</v>
      </c>
      <c r="H22" s="1">
        <v>188462.22</v>
      </c>
      <c r="I22" s="1">
        <v>863</v>
      </c>
      <c r="J22" s="1">
        <v>55</v>
      </c>
      <c r="K22" s="1">
        <v>85485</v>
      </c>
      <c r="L22" s="1" t="s">
        <v>40</v>
      </c>
      <c r="M22" s="1" t="s">
        <v>33</v>
      </c>
      <c r="N22" s="1">
        <v>1.2</v>
      </c>
    </row>
    <row r="23" spans="1:16" x14ac:dyDescent="0.3">
      <c r="A23" s="1" t="s">
        <v>72</v>
      </c>
      <c r="B23" s="1" t="s">
        <v>73</v>
      </c>
      <c r="C23" s="1">
        <v>49</v>
      </c>
      <c r="D23" s="1" t="s">
        <v>23</v>
      </c>
      <c r="E23" s="1" t="s">
        <v>55</v>
      </c>
      <c r="F23" s="1" t="s">
        <v>25</v>
      </c>
      <c r="G23" s="9">
        <v>324552.21000000002</v>
      </c>
      <c r="H23" s="1">
        <v>1002600.73</v>
      </c>
      <c r="I23" s="1">
        <v>360</v>
      </c>
      <c r="J23" s="1">
        <v>89</v>
      </c>
      <c r="K23" s="1">
        <v>146185</v>
      </c>
      <c r="L23" s="1" t="s">
        <v>26</v>
      </c>
      <c r="M23" s="1" t="s">
        <v>33</v>
      </c>
      <c r="N23" s="1">
        <v>2.5</v>
      </c>
    </row>
    <row r="24" spans="1:16" x14ac:dyDescent="0.3">
      <c r="A24" s="1" t="s">
        <v>74</v>
      </c>
      <c r="B24" s="1" t="s">
        <v>75</v>
      </c>
      <c r="C24" s="1">
        <v>62</v>
      </c>
      <c r="D24" s="1" t="s">
        <v>16</v>
      </c>
      <c r="E24" s="1" t="s">
        <v>76</v>
      </c>
      <c r="F24" s="1" t="s">
        <v>18</v>
      </c>
      <c r="G24" s="9">
        <v>1493156.92</v>
      </c>
      <c r="H24" s="1">
        <v>1389420.81</v>
      </c>
      <c r="I24" s="1">
        <v>798</v>
      </c>
      <c r="J24" s="1">
        <v>84</v>
      </c>
      <c r="K24" s="1">
        <v>211497</v>
      </c>
      <c r="L24" s="1" t="s">
        <v>26</v>
      </c>
      <c r="M24" s="1" t="s">
        <v>20</v>
      </c>
      <c r="N24" s="1">
        <v>1.8</v>
      </c>
    </row>
    <row r="25" spans="1:16" x14ac:dyDescent="0.3">
      <c r="A25" s="1" t="s">
        <v>77</v>
      </c>
      <c r="B25" s="1" t="s">
        <v>78</v>
      </c>
      <c r="C25" s="1">
        <v>21</v>
      </c>
      <c r="D25" s="1" t="s">
        <v>16</v>
      </c>
      <c r="E25" s="1" t="s">
        <v>38</v>
      </c>
      <c r="F25" s="1" t="s">
        <v>18</v>
      </c>
      <c r="G25" s="9">
        <v>717798.83</v>
      </c>
      <c r="H25" s="1">
        <v>2298467.83</v>
      </c>
      <c r="I25" s="1">
        <v>843</v>
      </c>
      <c r="J25" s="1">
        <v>85</v>
      </c>
      <c r="K25" s="1">
        <v>173138</v>
      </c>
      <c r="L25" s="1" t="s">
        <v>19</v>
      </c>
      <c r="M25" s="1" t="s">
        <v>20</v>
      </c>
      <c r="N25" s="1">
        <v>1.2</v>
      </c>
    </row>
    <row r="26" spans="1:16" x14ac:dyDescent="0.3">
      <c r="A26" s="1" t="s">
        <v>79</v>
      </c>
      <c r="B26" s="1" t="s">
        <v>80</v>
      </c>
      <c r="C26" s="1">
        <v>43</v>
      </c>
      <c r="D26" s="1" t="s">
        <v>16</v>
      </c>
      <c r="E26" s="1" t="s">
        <v>17</v>
      </c>
      <c r="F26" s="1" t="s">
        <v>81</v>
      </c>
      <c r="G26" s="9">
        <v>1412686.21</v>
      </c>
      <c r="H26" s="1">
        <v>1424188.53</v>
      </c>
      <c r="I26" s="1">
        <v>892</v>
      </c>
      <c r="J26" s="1">
        <v>309</v>
      </c>
      <c r="K26" s="1">
        <v>51427</v>
      </c>
      <c r="L26" s="1" t="s">
        <v>26</v>
      </c>
      <c r="M26" s="1" t="s">
        <v>20</v>
      </c>
      <c r="N26" s="1">
        <v>1.2</v>
      </c>
    </row>
    <row r="27" spans="1:16" x14ac:dyDescent="0.3">
      <c r="A27" s="1" t="s">
        <v>82</v>
      </c>
      <c r="B27" s="1" t="s">
        <v>83</v>
      </c>
      <c r="C27" s="1">
        <v>60</v>
      </c>
      <c r="D27" s="1" t="s">
        <v>23</v>
      </c>
      <c r="E27" s="1" t="s">
        <v>48</v>
      </c>
      <c r="F27" s="1" t="s">
        <v>18</v>
      </c>
      <c r="G27" s="9">
        <v>474704.87</v>
      </c>
      <c r="H27" s="1">
        <v>664036.28</v>
      </c>
      <c r="I27" s="1">
        <v>434</v>
      </c>
      <c r="J27" s="1">
        <v>348</v>
      </c>
      <c r="K27" s="1">
        <v>207745</v>
      </c>
      <c r="L27" s="1" t="s">
        <v>19</v>
      </c>
      <c r="M27" s="1" t="s">
        <v>33</v>
      </c>
      <c r="N27" s="1">
        <v>3.6</v>
      </c>
    </row>
    <row r="28" spans="1:16" x14ac:dyDescent="0.3">
      <c r="A28" s="1" t="s">
        <v>84</v>
      </c>
      <c r="B28" s="1" t="s">
        <v>85</v>
      </c>
      <c r="C28" s="1">
        <v>57</v>
      </c>
      <c r="D28" s="1" t="s">
        <v>23</v>
      </c>
      <c r="E28" s="1" t="s">
        <v>29</v>
      </c>
      <c r="F28" s="1" t="s">
        <v>39</v>
      </c>
      <c r="G28" s="9">
        <v>1494164.19</v>
      </c>
      <c r="H28" s="1">
        <v>183151.8</v>
      </c>
      <c r="I28" s="1">
        <v>518</v>
      </c>
      <c r="J28" s="1">
        <v>264</v>
      </c>
      <c r="K28" s="1">
        <v>167585</v>
      </c>
      <c r="L28" s="1" t="s">
        <v>26</v>
      </c>
      <c r="M28" s="1" t="s">
        <v>33</v>
      </c>
      <c r="N28" s="1">
        <v>2.1</v>
      </c>
    </row>
    <row r="29" spans="1:16" x14ac:dyDescent="0.3">
      <c r="A29" s="1" t="s">
        <v>86</v>
      </c>
      <c r="B29" s="1" t="s">
        <v>87</v>
      </c>
      <c r="C29" s="1">
        <v>28</v>
      </c>
      <c r="D29" s="1" t="s">
        <v>23</v>
      </c>
      <c r="E29" s="1" t="s">
        <v>29</v>
      </c>
      <c r="F29" s="1" t="s">
        <v>39</v>
      </c>
      <c r="G29" s="9">
        <v>1251448.71</v>
      </c>
      <c r="H29" s="1">
        <v>1758849.81</v>
      </c>
      <c r="I29" s="1">
        <v>841</v>
      </c>
      <c r="J29" s="1">
        <v>9</v>
      </c>
      <c r="K29" s="1">
        <v>134867</v>
      </c>
      <c r="L29" s="1" t="s">
        <v>26</v>
      </c>
      <c r="M29" s="1" t="s">
        <v>20</v>
      </c>
      <c r="N29" s="1">
        <v>3.7</v>
      </c>
    </row>
    <row r="30" spans="1:16" x14ac:dyDescent="0.3">
      <c r="A30" s="1" t="s">
        <v>88</v>
      </c>
      <c r="B30" s="1" t="s">
        <v>89</v>
      </c>
      <c r="C30" s="1">
        <v>24</v>
      </c>
      <c r="D30" s="1" t="s">
        <v>23</v>
      </c>
      <c r="E30" s="1" t="s">
        <v>45</v>
      </c>
      <c r="F30" s="1" t="s">
        <v>81</v>
      </c>
      <c r="G30" s="9">
        <v>832069.34</v>
      </c>
      <c r="H30" s="1">
        <v>680870.53</v>
      </c>
      <c r="I30" s="1">
        <v>515</v>
      </c>
      <c r="J30" s="1">
        <v>372</v>
      </c>
      <c r="K30" s="1">
        <v>214620</v>
      </c>
      <c r="L30" s="1" t="s">
        <v>19</v>
      </c>
      <c r="M30" s="1" t="s">
        <v>20</v>
      </c>
      <c r="N30" s="1">
        <v>2.4</v>
      </c>
    </row>
    <row r="31" spans="1:16" x14ac:dyDescent="0.3">
      <c r="A31" s="1" t="s">
        <v>90</v>
      </c>
      <c r="B31" s="1" t="s">
        <v>91</v>
      </c>
      <c r="C31" s="1">
        <v>58</v>
      </c>
      <c r="D31" s="1" t="s">
        <v>23</v>
      </c>
      <c r="E31" s="1" t="s">
        <v>38</v>
      </c>
      <c r="F31" s="1" t="s">
        <v>25</v>
      </c>
      <c r="G31" s="9">
        <v>1244875.3899999999</v>
      </c>
      <c r="H31" s="1">
        <v>110216.9</v>
      </c>
      <c r="I31" s="1">
        <v>641</v>
      </c>
      <c r="J31" s="1">
        <v>399</v>
      </c>
      <c r="K31" s="1">
        <v>131037</v>
      </c>
      <c r="L31" s="1" t="s">
        <v>30</v>
      </c>
      <c r="M31" s="1" t="s">
        <v>20</v>
      </c>
      <c r="N31" s="1">
        <v>1.5</v>
      </c>
    </row>
    <row r="32" spans="1:16" x14ac:dyDescent="0.3">
      <c r="A32" s="1" t="s">
        <v>92</v>
      </c>
      <c r="B32" s="1" t="s">
        <v>93</v>
      </c>
      <c r="C32" s="1">
        <v>25</v>
      </c>
      <c r="D32" s="1" t="s">
        <v>23</v>
      </c>
      <c r="E32" s="1" t="s">
        <v>38</v>
      </c>
      <c r="F32" s="1" t="s">
        <v>25</v>
      </c>
      <c r="G32" s="9">
        <v>1417851.15</v>
      </c>
      <c r="H32" s="1">
        <v>1727549.06</v>
      </c>
      <c r="I32" s="1">
        <v>452</v>
      </c>
      <c r="J32" s="1">
        <v>284</v>
      </c>
      <c r="K32" s="1">
        <v>39724</v>
      </c>
      <c r="L32" s="1" t="s">
        <v>40</v>
      </c>
      <c r="M32" s="1" t="s">
        <v>20</v>
      </c>
      <c r="N32" s="1">
        <v>1.1000000000000001</v>
      </c>
    </row>
    <row r="33" spans="1:14" x14ac:dyDescent="0.3">
      <c r="A33" s="1" t="s">
        <v>94</v>
      </c>
      <c r="B33" s="1" t="s">
        <v>95</v>
      </c>
      <c r="C33" s="1">
        <v>37</v>
      </c>
      <c r="D33" s="1" t="s">
        <v>16</v>
      </c>
      <c r="E33" s="1" t="s">
        <v>29</v>
      </c>
      <c r="F33" s="1" t="s">
        <v>81</v>
      </c>
      <c r="G33" s="9">
        <v>1348977.33</v>
      </c>
      <c r="H33" s="1">
        <v>1990305.76</v>
      </c>
      <c r="I33" s="1">
        <v>340</v>
      </c>
      <c r="J33" s="1">
        <v>465</v>
      </c>
      <c r="K33" s="1">
        <v>115591</v>
      </c>
      <c r="L33" s="1" t="s">
        <v>30</v>
      </c>
      <c r="M33" s="1" t="s">
        <v>20</v>
      </c>
      <c r="N33" s="1">
        <v>2.4</v>
      </c>
    </row>
    <row r="34" spans="1:14" x14ac:dyDescent="0.3">
      <c r="A34" s="1" t="s">
        <v>96</v>
      </c>
      <c r="B34" s="1" t="s">
        <v>97</v>
      </c>
      <c r="C34" s="1">
        <v>33</v>
      </c>
      <c r="D34" s="1" t="s">
        <v>16</v>
      </c>
      <c r="E34" s="1" t="s">
        <v>48</v>
      </c>
      <c r="F34" s="1" t="s">
        <v>25</v>
      </c>
      <c r="G34" s="9">
        <v>247940.14</v>
      </c>
      <c r="H34" s="1">
        <v>1999717.57</v>
      </c>
      <c r="I34" s="1">
        <v>481</v>
      </c>
      <c r="J34" s="1">
        <v>456</v>
      </c>
      <c r="K34" s="1">
        <v>246651</v>
      </c>
      <c r="L34" s="1" t="s">
        <v>40</v>
      </c>
      <c r="M34" s="1" t="s">
        <v>33</v>
      </c>
      <c r="N34" s="1">
        <v>2.6</v>
      </c>
    </row>
    <row r="35" spans="1:14" x14ac:dyDescent="0.3">
      <c r="A35" s="1" t="s">
        <v>98</v>
      </c>
      <c r="B35" s="1" t="s">
        <v>99</v>
      </c>
      <c r="C35" s="1">
        <v>28</v>
      </c>
      <c r="D35" s="1" t="s">
        <v>16</v>
      </c>
      <c r="E35" s="1" t="s">
        <v>45</v>
      </c>
      <c r="F35" s="1" t="s">
        <v>81</v>
      </c>
      <c r="G35" s="9">
        <v>1053410.8899999999</v>
      </c>
      <c r="H35" s="1">
        <v>956354.31</v>
      </c>
      <c r="I35" s="1">
        <v>339</v>
      </c>
      <c r="J35" s="1">
        <v>444</v>
      </c>
      <c r="K35" s="1">
        <v>226405</v>
      </c>
      <c r="L35" s="1" t="s">
        <v>26</v>
      </c>
      <c r="M35" s="1" t="s">
        <v>20</v>
      </c>
      <c r="N35" s="1">
        <v>2.9</v>
      </c>
    </row>
    <row r="36" spans="1:14" x14ac:dyDescent="0.3">
      <c r="A36" s="1" t="s">
        <v>100</v>
      </c>
      <c r="B36" s="1" t="s">
        <v>101</v>
      </c>
      <c r="C36" s="1">
        <v>32</v>
      </c>
      <c r="D36" s="1" t="s">
        <v>23</v>
      </c>
      <c r="E36" s="1" t="s">
        <v>48</v>
      </c>
      <c r="F36" s="1" t="s">
        <v>25</v>
      </c>
      <c r="G36" s="9">
        <v>991749.61</v>
      </c>
      <c r="H36" s="1">
        <v>996164.95</v>
      </c>
      <c r="I36" s="1">
        <v>585</v>
      </c>
      <c r="J36" s="1">
        <v>447</v>
      </c>
      <c r="K36" s="1">
        <v>26203</v>
      </c>
      <c r="L36" s="1" t="s">
        <v>26</v>
      </c>
      <c r="M36" s="1" t="s">
        <v>20</v>
      </c>
      <c r="N36" s="1">
        <v>1.3</v>
      </c>
    </row>
    <row r="37" spans="1:14" x14ac:dyDescent="0.3">
      <c r="A37" s="1" t="s">
        <v>102</v>
      </c>
      <c r="B37" s="1" t="s">
        <v>103</v>
      </c>
      <c r="C37" s="1">
        <v>25</v>
      </c>
      <c r="D37" s="1" t="s">
        <v>23</v>
      </c>
      <c r="E37" s="1" t="s">
        <v>48</v>
      </c>
      <c r="F37" s="1" t="s">
        <v>81</v>
      </c>
      <c r="G37" s="9">
        <v>1455748.91</v>
      </c>
      <c r="H37" s="1">
        <v>446419.54</v>
      </c>
      <c r="I37" s="1">
        <v>571</v>
      </c>
      <c r="J37" s="1">
        <v>24</v>
      </c>
      <c r="K37" s="1">
        <v>249910</v>
      </c>
      <c r="L37" s="1" t="s">
        <v>30</v>
      </c>
      <c r="M37" s="1" t="s">
        <v>20</v>
      </c>
      <c r="N37" s="1">
        <v>1.4</v>
      </c>
    </row>
    <row r="38" spans="1:14" x14ac:dyDescent="0.3">
      <c r="A38" s="1" t="s">
        <v>104</v>
      </c>
      <c r="B38" s="1" t="s">
        <v>105</v>
      </c>
      <c r="C38" s="1">
        <v>42</v>
      </c>
      <c r="D38" s="1" t="s">
        <v>16</v>
      </c>
      <c r="E38" s="1" t="s">
        <v>48</v>
      </c>
      <c r="F38" s="1" t="s">
        <v>25</v>
      </c>
      <c r="G38" s="9">
        <v>289167.77</v>
      </c>
      <c r="H38" s="1">
        <v>110966.33</v>
      </c>
      <c r="I38" s="1">
        <v>746</v>
      </c>
      <c r="J38" s="1">
        <v>5</v>
      </c>
      <c r="K38" s="1">
        <v>171149</v>
      </c>
      <c r="L38" s="1" t="s">
        <v>19</v>
      </c>
      <c r="M38" s="1" t="s">
        <v>33</v>
      </c>
      <c r="N38" s="1">
        <v>3.1</v>
      </c>
    </row>
    <row r="39" spans="1:14" x14ac:dyDescent="0.3">
      <c r="A39" s="1" t="s">
        <v>106</v>
      </c>
      <c r="B39" s="1" t="s">
        <v>107</v>
      </c>
      <c r="C39" s="1">
        <v>57</v>
      </c>
      <c r="D39" s="1" t="s">
        <v>23</v>
      </c>
      <c r="E39" s="1" t="s">
        <v>48</v>
      </c>
      <c r="F39" s="1" t="s">
        <v>25</v>
      </c>
      <c r="G39" s="9">
        <v>996764.28</v>
      </c>
      <c r="H39" s="1">
        <v>311563.28999999998</v>
      </c>
      <c r="I39" s="1">
        <v>607</v>
      </c>
      <c r="J39" s="1">
        <v>264</v>
      </c>
      <c r="K39" s="1">
        <v>102291</v>
      </c>
      <c r="L39" s="1" t="s">
        <v>26</v>
      </c>
      <c r="M39" s="1" t="s">
        <v>20</v>
      </c>
      <c r="N39" s="1">
        <v>2.2000000000000002</v>
      </c>
    </row>
    <row r="40" spans="1:14" x14ac:dyDescent="0.3">
      <c r="A40" s="1" t="s">
        <v>108</v>
      </c>
      <c r="B40" s="1" t="s">
        <v>109</v>
      </c>
      <c r="C40" s="1">
        <v>30</v>
      </c>
      <c r="D40" s="1" t="s">
        <v>23</v>
      </c>
      <c r="E40" s="1" t="s">
        <v>76</v>
      </c>
      <c r="F40" s="1" t="s">
        <v>81</v>
      </c>
      <c r="G40" s="9">
        <v>999069.5</v>
      </c>
      <c r="H40" s="1">
        <v>947863.19</v>
      </c>
      <c r="I40" s="1">
        <v>478</v>
      </c>
      <c r="J40" s="1">
        <v>320</v>
      </c>
      <c r="K40" s="1">
        <v>130217</v>
      </c>
      <c r="L40" s="1" t="s">
        <v>26</v>
      </c>
      <c r="M40" s="1" t="s">
        <v>20</v>
      </c>
      <c r="N40" s="1">
        <v>3.3</v>
      </c>
    </row>
    <row r="41" spans="1:14" x14ac:dyDescent="0.3">
      <c r="A41" s="1" t="s">
        <v>110</v>
      </c>
      <c r="B41" s="1" t="s">
        <v>111</v>
      </c>
      <c r="C41" s="1">
        <v>45</v>
      </c>
      <c r="D41" s="1" t="s">
        <v>23</v>
      </c>
      <c r="E41" s="1" t="s">
        <v>45</v>
      </c>
      <c r="F41" s="1" t="s">
        <v>39</v>
      </c>
      <c r="G41" s="9">
        <v>872077.25</v>
      </c>
      <c r="H41" s="1">
        <v>1636764.06</v>
      </c>
      <c r="I41" s="1">
        <v>776</v>
      </c>
      <c r="J41" s="1">
        <v>231</v>
      </c>
      <c r="K41" s="1">
        <v>225981</v>
      </c>
      <c r="L41" s="1" t="s">
        <v>19</v>
      </c>
      <c r="M41" s="1" t="s">
        <v>33</v>
      </c>
      <c r="N41" s="1">
        <v>2.8</v>
      </c>
    </row>
    <row r="42" spans="1:14" x14ac:dyDescent="0.3">
      <c r="A42" s="1" t="s">
        <v>112</v>
      </c>
      <c r="B42" s="1" t="s">
        <v>113</v>
      </c>
      <c r="C42" s="1">
        <v>50</v>
      </c>
      <c r="D42" s="1" t="s">
        <v>23</v>
      </c>
      <c r="E42" s="1" t="s">
        <v>38</v>
      </c>
      <c r="F42" s="1" t="s">
        <v>18</v>
      </c>
      <c r="G42" s="9">
        <v>951246.58</v>
      </c>
      <c r="H42" s="1">
        <v>837970.64</v>
      </c>
      <c r="I42" s="1">
        <v>540</v>
      </c>
      <c r="J42" s="1">
        <v>349</v>
      </c>
      <c r="K42" s="1">
        <v>194025</v>
      </c>
      <c r="L42" s="1" t="s">
        <v>19</v>
      </c>
      <c r="M42" s="1" t="s">
        <v>20</v>
      </c>
      <c r="N42" s="1">
        <v>2.2000000000000002</v>
      </c>
    </row>
    <row r="43" spans="1:14" x14ac:dyDescent="0.3">
      <c r="A43" s="1" t="s">
        <v>114</v>
      </c>
      <c r="B43" s="1" t="s">
        <v>115</v>
      </c>
      <c r="C43" s="1">
        <v>48</v>
      </c>
      <c r="D43" s="1" t="s">
        <v>23</v>
      </c>
      <c r="E43" s="1" t="s">
        <v>17</v>
      </c>
      <c r="F43" s="1" t="s">
        <v>25</v>
      </c>
      <c r="G43" s="9">
        <v>1275357.8500000001</v>
      </c>
      <c r="H43" s="1">
        <v>182070.57</v>
      </c>
      <c r="I43" s="1">
        <v>724</v>
      </c>
      <c r="J43" s="1">
        <v>458</v>
      </c>
      <c r="K43" s="1">
        <v>180241</v>
      </c>
      <c r="L43" s="1" t="s">
        <v>30</v>
      </c>
      <c r="M43" s="1" t="s">
        <v>20</v>
      </c>
      <c r="N43" s="1">
        <v>3.5</v>
      </c>
    </row>
    <row r="44" spans="1:14" x14ac:dyDescent="0.3">
      <c r="A44" s="1" t="s">
        <v>116</v>
      </c>
      <c r="B44" s="1" t="s">
        <v>117</v>
      </c>
      <c r="C44" s="1">
        <v>27</v>
      </c>
      <c r="D44" s="1" t="s">
        <v>23</v>
      </c>
      <c r="E44" s="1" t="s">
        <v>45</v>
      </c>
      <c r="F44" s="1" t="s">
        <v>18</v>
      </c>
      <c r="G44" s="9">
        <v>1032995.51</v>
      </c>
      <c r="H44" s="1">
        <v>2231649.5699999998</v>
      </c>
      <c r="I44" s="1">
        <v>409</v>
      </c>
      <c r="J44" s="1">
        <v>403</v>
      </c>
      <c r="K44" s="1">
        <v>191981</v>
      </c>
      <c r="L44" s="1" t="s">
        <v>40</v>
      </c>
      <c r="M44" s="1" t="s">
        <v>20</v>
      </c>
      <c r="N44" s="1">
        <v>2.7</v>
      </c>
    </row>
    <row r="45" spans="1:14" x14ac:dyDescent="0.3">
      <c r="A45" s="1" t="s">
        <v>118</v>
      </c>
      <c r="B45" s="1" t="s">
        <v>119</v>
      </c>
      <c r="C45" s="1">
        <v>47</v>
      </c>
      <c r="D45" s="1" t="s">
        <v>23</v>
      </c>
      <c r="E45" s="1" t="s">
        <v>17</v>
      </c>
      <c r="F45" s="1" t="s">
        <v>25</v>
      </c>
      <c r="G45" s="9">
        <v>1203117.82</v>
      </c>
      <c r="H45" s="1">
        <v>1668944.33</v>
      </c>
      <c r="I45" s="1">
        <v>872</v>
      </c>
      <c r="J45" s="1">
        <v>309</v>
      </c>
      <c r="K45" s="1">
        <v>54954</v>
      </c>
      <c r="L45" s="1" t="s">
        <v>40</v>
      </c>
      <c r="M45" s="1" t="s">
        <v>33</v>
      </c>
      <c r="N45" s="1">
        <v>2.2999999999999998</v>
      </c>
    </row>
    <row r="46" spans="1:14" x14ac:dyDescent="0.3">
      <c r="A46" s="1" t="s">
        <v>120</v>
      </c>
      <c r="B46" s="1" t="s">
        <v>121</v>
      </c>
      <c r="C46" s="1">
        <v>46</v>
      </c>
      <c r="D46" s="1" t="s">
        <v>23</v>
      </c>
      <c r="E46" s="1" t="s">
        <v>24</v>
      </c>
      <c r="F46" s="1" t="s">
        <v>81</v>
      </c>
      <c r="G46" s="9">
        <v>1128906.3</v>
      </c>
      <c r="H46" s="1">
        <v>2099657.2200000002</v>
      </c>
      <c r="I46" s="1">
        <v>583</v>
      </c>
      <c r="J46" s="1">
        <v>397</v>
      </c>
      <c r="K46" s="1">
        <v>87945</v>
      </c>
      <c r="L46" s="1" t="s">
        <v>30</v>
      </c>
      <c r="M46" s="1" t="s">
        <v>20</v>
      </c>
      <c r="N46" s="1">
        <v>4.0999999999999996</v>
      </c>
    </row>
    <row r="47" spans="1:14" x14ac:dyDescent="0.3">
      <c r="A47" s="1" t="s">
        <v>122</v>
      </c>
      <c r="B47" s="1" t="s">
        <v>123</v>
      </c>
      <c r="C47" s="1">
        <v>63</v>
      </c>
      <c r="D47" s="1" t="s">
        <v>23</v>
      </c>
      <c r="E47" s="1" t="s">
        <v>17</v>
      </c>
      <c r="F47" s="1" t="s">
        <v>39</v>
      </c>
      <c r="G47" s="9">
        <v>355567.9</v>
      </c>
      <c r="H47" s="1">
        <v>839618.84</v>
      </c>
      <c r="I47" s="1">
        <v>853</v>
      </c>
      <c r="J47" s="1">
        <v>46</v>
      </c>
      <c r="K47" s="1">
        <v>94901</v>
      </c>
      <c r="L47" s="1" t="s">
        <v>40</v>
      </c>
      <c r="M47" s="1" t="s">
        <v>20</v>
      </c>
      <c r="N47" s="1">
        <v>1.6</v>
      </c>
    </row>
    <row r="48" spans="1:14" x14ac:dyDescent="0.3">
      <c r="A48" s="1" t="s">
        <v>124</v>
      </c>
      <c r="B48" s="1" t="s">
        <v>125</v>
      </c>
      <c r="C48" s="1">
        <v>44</v>
      </c>
      <c r="D48" s="1" t="s">
        <v>23</v>
      </c>
      <c r="E48" s="1" t="s">
        <v>76</v>
      </c>
      <c r="F48" s="1" t="s">
        <v>25</v>
      </c>
      <c r="G48" s="9">
        <v>499667.68</v>
      </c>
      <c r="H48" s="1">
        <v>1164810.76</v>
      </c>
      <c r="I48" s="1">
        <v>363</v>
      </c>
      <c r="J48" s="1">
        <v>110</v>
      </c>
      <c r="K48" s="1">
        <v>126849</v>
      </c>
      <c r="L48" s="1" t="s">
        <v>30</v>
      </c>
      <c r="M48" s="1" t="s">
        <v>20</v>
      </c>
      <c r="N48" s="1">
        <v>4.3</v>
      </c>
    </row>
    <row r="49" spans="1:14" x14ac:dyDescent="0.3">
      <c r="A49" s="1" t="s">
        <v>126</v>
      </c>
      <c r="B49" s="1" t="s">
        <v>127</v>
      </c>
      <c r="C49" s="1">
        <v>40</v>
      </c>
      <c r="D49" s="1" t="s">
        <v>23</v>
      </c>
      <c r="E49" s="1" t="s">
        <v>45</v>
      </c>
      <c r="F49" s="1" t="s">
        <v>39</v>
      </c>
      <c r="G49" s="9">
        <v>1131445.31</v>
      </c>
      <c r="H49" s="1">
        <v>2133619.88</v>
      </c>
      <c r="I49" s="1">
        <v>729</v>
      </c>
      <c r="J49" s="1">
        <v>280</v>
      </c>
      <c r="K49" s="1">
        <v>98279</v>
      </c>
      <c r="L49" s="1" t="s">
        <v>26</v>
      </c>
      <c r="M49" s="1" t="s">
        <v>33</v>
      </c>
      <c r="N49" s="1">
        <v>4</v>
      </c>
    </row>
    <row r="50" spans="1:14" x14ac:dyDescent="0.3">
      <c r="A50" s="1" t="s">
        <v>128</v>
      </c>
      <c r="B50" s="1" t="s">
        <v>129</v>
      </c>
      <c r="C50" s="1">
        <v>49</v>
      </c>
      <c r="D50" s="1" t="s">
        <v>23</v>
      </c>
      <c r="E50" s="1" t="s">
        <v>38</v>
      </c>
      <c r="F50" s="1" t="s">
        <v>18</v>
      </c>
      <c r="G50" s="9">
        <v>586341.52</v>
      </c>
      <c r="H50" s="1">
        <v>1672184.05</v>
      </c>
      <c r="I50" s="1">
        <v>714</v>
      </c>
      <c r="J50" s="1">
        <v>375</v>
      </c>
      <c r="K50" s="1">
        <v>27608</v>
      </c>
      <c r="L50" s="1" t="s">
        <v>30</v>
      </c>
      <c r="M50" s="1" t="s">
        <v>20</v>
      </c>
      <c r="N50" s="1">
        <v>1.7</v>
      </c>
    </row>
    <row r="51" spans="1:14" x14ac:dyDescent="0.3">
      <c r="A51" s="1" t="s">
        <v>130</v>
      </c>
      <c r="B51" s="1" t="s">
        <v>131</v>
      </c>
      <c r="C51" s="1">
        <v>23</v>
      </c>
      <c r="D51" s="1" t="s">
        <v>23</v>
      </c>
      <c r="E51" s="1" t="s">
        <v>24</v>
      </c>
      <c r="F51" s="1" t="s">
        <v>25</v>
      </c>
      <c r="G51" s="9">
        <v>645776.09</v>
      </c>
      <c r="H51" s="1">
        <v>2167128.39</v>
      </c>
      <c r="I51" s="1">
        <v>486</v>
      </c>
      <c r="J51" s="1">
        <v>30</v>
      </c>
      <c r="K51" s="1">
        <v>188492</v>
      </c>
      <c r="L51" s="1" t="s">
        <v>26</v>
      </c>
      <c r="M51" s="1" t="s">
        <v>33</v>
      </c>
      <c r="N51" s="1">
        <v>2</v>
      </c>
    </row>
    <row r="52" spans="1:14" x14ac:dyDescent="0.3">
      <c r="A52" s="1" t="s">
        <v>132</v>
      </c>
      <c r="B52" s="1" t="s">
        <v>133</v>
      </c>
      <c r="C52" s="1">
        <v>66</v>
      </c>
      <c r="D52" s="1" t="s">
        <v>23</v>
      </c>
      <c r="E52" s="1" t="s">
        <v>76</v>
      </c>
      <c r="F52" s="1" t="s">
        <v>18</v>
      </c>
      <c r="G52" s="9">
        <v>420993.64</v>
      </c>
      <c r="H52" s="1">
        <v>2378010.2999999998</v>
      </c>
      <c r="I52" s="1">
        <v>731</v>
      </c>
      <c r="J52" s="1">
        <v>134</v>
      </c>
      <c r="K52" s="1">
        <v>119385</v>
      </c>
      <c r="L52" s="1" t="s">
        <v>26</v>
      </c>
      <c r="M52" s="1" t="s">
        <v>20</v>
      </c>
      <c r="N52" s="1">
        <v>4.3</v>
      </c>
    </row>
    <row r="53" spans="1:14" x14ac:dyDescent="0.3">
      <c r="A53" s="1" t="s">
        <v>134</v>
      </c>
      <c r="B53" s="1" t="s">
        <v>135</v>
      </c>
      <c r="C53" s="1">
        <v>59</v>
      </c>
      <c r="D53" s="1" t="s">
        <v>23</v>
      </c>
      <c r="E53" s="1" t="s">
        <v>38</v>
      </c>
      <c r="F53" s="1" t="s">
        <v>39</v>
      </c>
      <c r="G53" s="9">
        <v>1172943.4099999999</v>
      </c>
      <c r="H53" s="1">
        <v>1629386.64</v>
      </c>
      <c r="I53" s="1">
        <v>331</v>
      </c>
      <c r="J53" s="1">
        <v>491</v>
      </c>
      <c r="K53" s="1">
        <v>37987</v>
      </c>
      <c r="L53" s="1" t="s">
        <v>40</v>
      </c>
      <c r="M53" s="1" t="s">
        <v>33</v>
      </c>
      <c r="N53" s="1">
        <v>2</v>
      </c>
    </row>
    <row r="54" spans="1:14" x14ac:dyDescent="0.3">
      <c r="A54" s="1" t="s">
        <v>136</v>
      </c>
      <c r="B54" s="1" t="s">
        <v>137</v>
      </c>
      <c r="C54" s="1">
        <v>60</v>
      </c>
      <c r="D54" s="1" t="s">
        <v>23</v>
      </c>
      <c r="E54" s="1" t="s">
        <v>38</v>
      </c>
      <c r="F54" s="1" t="s">
        <v>81</v>
      </c>
      <c r="G54" s="9">
        <v>848134.52</v>
      </c>
      <c r="H54" s="1">
        <v>544911.35</v>
      </c>
      <c r="I54" s="1">
        <v>562</v>
      </c>
      <c r="J54" s="1">
        <v>397</v>
      </c>
      <c r="K54" s="1">
        <v>49986</v>
      </c>
      <c r="L54" s="1" t="s">
        <v>19</v>
      </c>
      <c r="M54" s="1" t="s">
        <v>20</v>
      </c>
      <c r="N54" s="1">
        <v>2.5</v>
      </c>
    </row>
    <row r="55" spans="1:14" x14ac:dyDescent="0.3">
      <c r="A55" s="1" t="s">
        <v>138</v>
      </c>
      <c r="B55" s="1" t="s">
        <v>139</v>
      </c>
      <c r="C55" s="1">
        <v>37</v>
      </c>
      <c r="D55" s="1" t="s">
        <v>23</v>
      </c>
      <c r="E55" s="1" t="s">
        <v>24</v>
      </c>
      <c r="F55" s="1" t="s">
        <v>18</v>
      </c>
      <c r="G55" s="9">
        <v>1017634.19</v>
      </c>
      <c r="H55" s="1">
        <v>2395432.1</v>
      </c>
      <c r="I55" s="1">
        <v>706</v>
      </c>
      <c r="J55" s="1">
        <v>487</v>
      </c>
      <c r="K55" s="1">
        <v>170941</v>
      </c>
      <c r="L55" s="1" t="s">
        <v>26</v>
      </c>
      <c r="M55" s="1" t="s">
        <v>20</v>
      </c>
      <c r="N55" s="1">
        <v>3.9</v>
      </c>
    </row>
    <row r="56" spans="1:14" x14ac:dyDescent="0.3">
      <c r="A56" s="1" t="s">
        <v>140</v>
      </c>
      <c r="B56" s="1" t="s">
        <v>141</v>
      </c>
      <c r="C56" s="1">
        <v>68</v>
      </c>
      <c r="D56" s="1" t="s">
        <v>23</v>
      </c>
      <c r="E56" s="1" t="s">
        <v>76</v>
      </c>
      <c r="F56" s="1" t="s">
        <v>25</v>
      </c>
      <c r="G56" s="9">
        <v>1175039.8400000001</v>
      </c>
      <c r="H56" s="1">
        <v>868009.41</v>
      </c>
      <c r="I56" s="1">
        <v>738</v>
      </c>
      <c r="J56" s="1">
        <v>343</v>
      </c>
      <c r="K56" s="1">
        <v>168355</v>
      </c>
      <c r="L56" s="1" t="s">
        <v>30</v>
      </c>
      <c r="M56" s="1" t="s">
        <v>20</v>
      </c>
      <c r="N56" s="1">
        <v>2.5</v>
      </c>
    </row>
    <row r="57" spans="1:14" x14ac:dyDescent="0.3">
      <c r="A57" s="1" t="s">
        <v>142</v>
      </c>
      <c r="B57" s="1" t="s">
        <v>143</v>
      </c>
      <c r="C57" s="1">
        <v>45</v>
      </c>
      <c r="D57" s="1" t="s">
        <v>23</v>
      </c>
      <c r="E57" s="1" t="s">
        <v>45</v>
      </c>
      <c r="F57" s="1" t="s">
        <v>25</v>
      </c>
      <c r="G57" s="9">
        <v>955199.73</v>
      </c>
      <c r="H57" s="1">
        <v>2071768.28</v>
      </c>
      <c r="I57" s="1">
        <v>456</v>
      </c>
      <c r="J57" s="1">
        <v>227</v>
      </c>
      <c r="K57" s="1">
        <v>114945</v>
      </c>
      <c r="L57" s="1" t="s">
        <v>30</v>
      </c>
      <c r="M57" s="1" t="s">
        <v>33</v>
      </c>
      <c r="N57" s="1">
        <v>1.7</v>
      </c>
    </row>
    <row r="58" spans="1:14" x14ac:dyDescent="0.3">
      <c r="A58" s="1" t="s">
        <v>144</v>
      </c>
      <c r="B58" s="1" t="s">
        <v>145</v>
      </c>
      <c r="C58" s="1">
        <v>38</v>
      </c>
      <c r="D58" s="1" t="s">
        <v>23</v>
      </c>
      <c r="E58" s="1" t="s">
        <v>17</v>
      </c>
      <c r="F58" s="1" t="s">
        <v>81</v>
      </c>
      <c r="G58" s="9">
        <v>372015.28</v>
      </c>
      <c r="H58" s="1">
        <v>2336554.7000000002</v>
      </c>
      <c r="I58" s="1">
        <v>585</v>
      </c>
      <c r="J58" s="1">
        <v>456</v>
      </c>
      <c r="K58" s="1">
        <v>243271</v>
      </c>
      <c r="L58" s="1" t="s">
        <v>19</v>
      </c>
      <c r="M58" s="1" t="s">
        <v>33</v>
      </c>
      <c r="N58" s="1">
        <v>2.8</v>
      </c>
    </row>
    <row r="59" spans="1:14" x14ac:dyDescent="0.3">
      <c r="A59" s="1" t="s">
        <v>146</v>
      </c>
      <c r="B59" s="1" t="s">
        <v>147</v>
      </c>
      <c r="C59" s="1">
        <v>38</v>
      </c>
      <c r="D59" s="1" t="s">
        <v>23</v>
      </c>
      <c r="E59" s="1" t="s">
        <v>76</v>
      </c>
      <c r="F59" s="1" t="s">
        <v>39</v>
      </c>
      <c r="G59" s="9">
        <v>733887.15</v>
      </c>
      <c r="H59" s="1">
        <v>887062.42</v>
      </c>
      <c r="I59" s="1">
        <v>564</v>
      </c>
      <c r="J59" s="1">
        <v>179</v>
      </c>
      <c r="K59" s="1">
        <v>67668</v>
      </c>
      <c r="L59" s="1" t="s">
        <v>19</v>
      </c>
      <c r="M59" s="1" t="s">
        <v>20</v>
      </c>
      <c r="N59" s="1">
        <v>2.1</v>
      </c>
    </row>
    <row r="60" spans="1:14" x14ac:dyDescent="0.3">
      <c r="A60" s="1" t="s">
        <v>148</v>
      </c>
      <c r="B60" s="1" t="s">
        <v>149</v>
      </c>
      <c r="C60" s="1">
        <v>64</v>
      </c>
      <c r="D60" s="1" t="s">
        <v>23</v>
      </c>
      <c r="E60" s="1" t="s">
        <v>76</v>
      </c>
      <c r="F60" s="1" t="s">
        <v>18</v>
      </c>
      <c r="G60" s="9">
        <v>735423.88</v>
      </c>
      <c r="H60" s="1">
        <v>1895411.63</v>
      </c>
      <c r="I60" s="1">
        <v>787</v>
      </c>
      <c r="J60" s="1">
        <v>335</v>
      </c>
      <c r="K60" s="1">
        <v>126542</v>
      </c>
      <c r="L60" s="1" t="s">
        <v>26</v>
      </c>
      <c r="M60" s="1" t="s">
        <v>20</v>
      </c>
      <c r="N60" s="1">
        <v>3.8</v>
      </c>
    </row>
    <row r="61" spans="1:14" x14ac:dyDescent="0.3">
      <c r="A61" s="1" t="s">
        <v>150</v>
      </c>
      <c r="B61" s="1" t="s">
        <v>151</v>
      </c>
      <c r="C61" s="1">
        <v>43</v>
      </c>
      <c r="D61" s="1" t="s">
        <v>23</v>
      </c>
      <c r="E61" s="1" t="s">
        <v>17</v>
      </c>
      <c r="F61" s="1" t="s">
        <v>81</v>
      </c>
      <c r="G61" s="9">
        <v>368741.22</v>
      </c>
      <c r="H61" s="1">
        <v>1659900.05</v>
      </c>
      <c r="I61" s="1">
        <v>677</v>
      </c>
      <c r="J61" s="1">
        <v>247</v>
      </c>
      <c r="K61" s="1">
        <v>201347</v>
      </c>
      <c r="L61" s="1" t="s">
        <v>26</v>
      </c>
      <c r="M61" s="1" t="s">
        <v>33</v>
      </c>
      <c r="N61" s="1">
        <v>3.2</v>
      </c>
    </row>
    <row r="62" spans="1:14" x14ac:dyDescent="0.3">
      <c r="A62" s="1" t="s">
        <v>152</v>
      </c>
      <c r="B62" s="1" t="s">
        <v>153</v>
      </c>
      <c r="C62" s="1">
        <v>35</v>
      </c>
      <c r="D62" s="1" t="s">
        <v>23</v>
      </c>
      <c r="E62" s="1" t="s">
        <v>24</v>
      </c>
      <c r="F62" s="1" t="s">
        <v>39</v>
      </c>
      <c r="G62" s="9">
        <v>380848.5</v>
      </c>
      <c r="H62" s="1">
        <v>301639.71000000002</v>
      </c>
      <c r="I62" s="1">
        <v>497</v>
      </c>
      <c r="J62" s="1">
        <v>166</v>
      </c>
      <c r="K62" s="1">
        <v>100379</v>
      </c>
      <c r="L62" s="1" t="s">
        <v>30</v>
      </c>
      <c r="M62" s="1" t="s">
        <v>33</v>
      </c>
      <c r="N62" s="1">
        <v>1.5</v>
      </c>
    </row>
    <row r="63" spans="1:14" x14ac:dyDescent="0.3">
      <c r="A63" s="1" t="s">
        <v>154</v>
      </c>
      <c r="B63" s="1" t="s">
        <v>155</v>
      </c>
      <c r="C63" s="1">
        <v>64</v>
      </c>
      <c r="D63" s="1" t="s">
        <v>23</v>
      </c>
      <c r="E63" s="1" t="s">
        <v>24</v>
      </c>
      <c r="F63" s="1" t="s">
        <v>81</v>
      </c>
      <c r="G63" s="9">
        <v>1465027.5</v>
      </c>
      <c r="H63" s="1">
        <v>1311592.17</v>
      </c>
      <c r="I63" s="1">
        <v>589</v>
      </c>
      <c r="J63" s="1">
        <v>56</v>
      </c>
      <c r="K63" s="1">
        <v>174556</v>
      </c>
      <c r="L63" s="1" t="s">
        <v>40</v>
      </c>
      <c r="M63" s="1" t="s">
        <v>33</v>
      </c>
      <c r="N63" s="1">
        <v>4.3</v>
      </c>
    </row>
    <row r="64" spans="1:14" x14ac:dyDescent="0.3">
      <c r="A64" s="1" t="s">
        <v>156</v>
      </c>
      <c r="B64" s="1" t="s">
        <v>157</v>
      </c>
      <c r="C64" s="1">
        <v>18</v>
      </c>
      <c r="D64" s="1" t="s">
        <v>16</v>
      </c>
      <c r="E64" s="1" t="s">
        <v>45</v>
      </c>
      <c r="F64" s="1" t="s">
        <v>18</v>
      </c>
      <c r="G64" s="9">
        <v>803531.96</v>
      </c>
      <c r="H64" s="1">
        <v>685778.32</v>
      </c>
      <c r="I64" s="1">
        <v>355</v>
      </c>
      <c r="J64" s="1">
        <v>288</v>
      </c>
      <c r="K64" s="1">
        <v>205602</v>
      </c>
      <c r="L64" s="1" t="s">
        <v>19</v>
      </c>
      <c r="M64" s="1" t="s">
        <v>33</v>
      </c>
      <c r="N64" s="1">
        <v>2.2000000000000002</v>
      </c>
    </row>
    <row r="65" spans="1:14" x14ac:dyDescent="0.3">
      <c r="A65" s="1" t="s">
        <v>158</v>
      </c>
      <c r="B65" s="1" t="s">
        <v>159</v>
      </c>
      <c r="C65" s="1">
        <v>48</v>
      </c>
      <c r="D65" s="1" t="s">
        <v>23</v>
      </c>
      <c r="E65" s="1" t="s">
        <v>29</v>
      </c>
      <c r="F65" s="1" t="s">
        <v>18</v>
      </c>
      <c r="G65" s="9">
        <v>663500.85</v>
      </c>
      <c r="H65" s="1">
        <v>460909.18</v>
      </c>
      <c r="I65" s="1">
        <v>352</v>
      </c>
      <c r="J65" s="1">
        <v>134</v>
      </c>
      <c r="K65" s="1">
        <v>145492</v>
      </c>
      <c r="L65" s="1" t="s">
        <v>30</v>
      </c>
      <c r="M65" s="1" t="s">
        <v>33</v>
      </c>
      <c r="N65" s="1">
        <v>4.8</v>
      </c>
    </row>
    <row r="66" spans="1:14" x14ac:dyDescent="0.3">
      <c r="A66" s="1" t="s">
        <v>160</v>
      </c>
      <c r="B66" s="1" t="s">
        <v>161</v>
      </c>
      <c r="C66" s="1">
        <v>22</v>
      </c>
      <c r="D66" s="1" t="s">
        <v>23</v>
      </c>
      <c r="E66" s="1" t="s">
        <v>29</v>
      </c>
      <c r="F66" s="1" t="s">
        <v>39</v>
      </c>
      <c r="G66" s="9">
        <v>946021.33</v>
      </c>
      <c r="H66" s="1">
        <v>134022.69</v>
      </c>
      <c r="I66" s="1">
        <v>452</v>
      </c>
      <c r="J66" s="1">
        <v>420</v>
      </c>
      <c r="K66" s="1">
        <v>171262</v>
      </c>
      <c r="L66" s="1" t="s">
        <v>19</v>
      </c>
      <c r="M66" s="1" t="s">
        <v>33</v>
      </c>
      <c r="N66" s="1">
        <v>3.3</v>
      </c>
    </row>
    <row r="67" spans="1:14" x14ac:dyDescent="0.3">
      <c r="A67" s="1" t="s">
        <v>162</v>
      </c>
      <c r="B67" s="1" t="s">
        <v>163</v>
      </c>
      <c r="C67" s="1">
        <v>56</v>
      </c>
      <c r="D67" s="1" t="s">
        <v>23</v>
      </c>
      <c r="E67" s="1" t="s">
        <v>55</v>
      </c>
      <c r="F67" s="1" t="s">
        <v>25</v>
      </c>
      <c r="G67" s="9">
        <v>1187157.54</v>
      </c>
      <c r="H67" s="1">
        <v>564217.84</v>
      </c>
      <c r="I67" s="1">
        <v>835</v>
      </c>
      <c r="J67" s="1">
        <v>199</v>
      </c>
      <c r="K67" s="1">
        <v>176271</v>
      </c>
      <c r="L67" s="1" t="s">
        <v>26</v>
      </c>
      <c r="M67" s="1" t="s">
        <v>20</v>
      </c>
      <c r="N67" s="1">
        <v>2.8</v>
      </c>
    </row>
    <row r="68" spans="1:14" x14ac:dyDescent="0.3">
      <c r="A68" s="1" t="s">
        <v>164</v>
      </c>
      <c r="B68" s="1" t="s">
        <v>165</v>
      </c>
      <c r="C68" s="1">
        <v>57</v>
      </c>
      <c r="D68" s="1" t="s">
        <v>16</v>
      </c>
      <c r="E68" s="1" t="s">
        <v>24</v>
      </c>
      <c r="F68" s="1" t="s">
        <v>39</v>
      </c>
      <c r="G68" s="9">
        <v>153354.19</v>
      </c>
      <c r="H68" s="1">
        <v>1906842.76</v>
      </c>
      <c r="I68" s="1">
        <v>516</v>
      </c>
      <c r="J68" s="1">
        <v>140</v>
      </c>
      <c r="K68" s="1">
        <v>214009</v>
      </c>
      <c r="L68" s="1" t="s">
        <v>19</v>
      </c>
      <c r="M68" s="1" t="s">
        <v>20</v>
      </c>
      <c r="N68" s="1">
        <v>3.6</v>
      </c>
    </row>
    <row r="69" spans="1:14" x14ac:dyDescent="0.3">
      <c r="A69" s="1" t="s">
        <v>166</v>
      </c>
      <c r="B69" s="1" t="s">
        <v>167</v>
      </c>
      <c r="C69" s="1">
        <v>18</v>
      </c>
      <c r="D69" s="1" t="s">
        <v>23</v>
      </c>
      <c r="E69" s="1" t="s">
        <v>45</v>
      </c>
      <c r="F69" s="1" t="s">
        <v>18</v>
      </c>
      <c r="G69" s="9">
        <v>678503.04</v>
      </c>
      <c r="H69" s="1">
        <v>1484527.99</v>
      </c>
      <c r="I69" s="1">
        <v>598</v>
      </c>
      <c r="J69" s="1">
        <v>21</v>
      </c>
      <c r="K69" s="1">
        <v>127090</v>
      </c>
      <c r="L69" s="1" t="s">
        <v>40</v>
      </c>
      <c r="M69" s="1" t="s">
        <v>33</v>
      </c>
      <c r="N69" s="1">
        <v>1.9</v>
      </c>
    </row>
    <row r="70" spans="1:14" x14ac:dyDescent="0.3">
      <c r="A70" s="1" t="s">
        <v>168</v>
      </c>
      <c r="B70" s="1" t="s">
        <v>169</v>
      </c>
      <c r="C70" s="1">
        <v>68</v>
      </c>
      <c r="D70" s="1" t="s">
        <v>16</v>
      </c>
      <c r="E70" s="1" t="s">
        <v>38</v>
      </c>
      <c r="F70" s="1" t="s">
        <v>81</v>
      </c>
      <c r="G70" s="9">
        <v>939461.72</v>
      </c>
      <c r="H70" s="1">
        <v>1652957.61</v>
      </c>
      <c r="I70" s="1">
        <v>502</v>
      </c>
      <c r="J70" s="1">
        <v>222</v>
      </c>
      <c r="K70" s="1">
        <v>227420</v>
      </c>
      <c r="L70" s="1" t="s">
        <v>40</v>
      </c>
      <c r="M70" s="1" t="s">
        <v>20</v>
      </c>
      <c r="N70" s="1">
        <v>1.5</v>
      </c>
    </row>
    <row r="71" spans="1:14" x14ac:dyDescent="0.3">
      <c r="A71" s="1" t="s">
        <v>170</v>
      </c>
      <c r="B71" s="1" t="s">
        <v>171</v>
      </c>
      <c r="C71" s="1">
        <v>21</v>
      </c>
      <c r="D71" s="1" t="s">
        <v>16</v>
      </c>
      <c r="E71" s="1" t="s">
        <v>45</v>
      </c>
      <c r="F71" s="1" t="s">
        <v>81</v>
      </c>
      <c r="G71" s="9">
        <v>1189979.71</v>
      </c>
      <c r="H71" s="1">
        <v>1487610.09</v>
      </c>
      <c r="I71" s="1">
        <v>882</v>
      </c>
      <c r="J71" s="1">
        <v>476</v>
      </c>
      <c r="K71" s="1">
        <v>63495</v>
      </c>
      <c r="L71" s="1" t="s">
        <v>30</v>
      </c>
      <c r="M71" s="1" t="s">
        <v>33</v>
      </c>
      <c r="N71" s="1">
        <v>2.2000000000000002</v>
      </c>
    </row>
    <row r="72" spans="1:14" x14ac:dyDescent="0.3">
      <c r="A72" s="1" t="s">
        <v>172</v>
      </c>
      <c r="B72" s="1" t="s">
        <v>173</v>
      </c>
      <c r="C72" s="1">
        <v>50</v>
      </c>
      <c r="D72" s="1" t="s">
        <v>23</v>
      </c>
      <c r="E72" s="1" t="s">
        <v>55</v>
      </c>
      <c r="F72" s="1" t="s">
        <v>18</v>
      </c>
      <c r="G72" s="9">
        <v>743223.85</v>
      </c>
      <c r="H72" s="1">
        <v>201104.63</v>
      </c>
      <c r="I72" s="1">
        <v>340</v>
      </c>
      <c r="J72" s="1">
        <v>460</v>
      </c>
      <c r="K72" s="1">
        <v>161552</v>
      </c>
      <c r="L72" s="1" t="s">
        <v>19</v>
      </c>
      <c r="M72" s="1" t="s">
        <v>20</v>
      </c>
      <c r="N72" s="1">
        <v>2.7</v>
      </c>
    </row>
    <row r="73" spans="1:14" x14ac:dyDescent="0.3">
      <c r="A73" s="1" t="s">
        <v>174</v>
      </c>
      <c r="B73" s="1" t="s">
        <v>175</v>
      </c>
      <c r="C73" s="1">
        <v>61</v>
      </c>
      <c r="D73" s="1" t="s">
        <v>23</v>
      </c>
      <c r="E73" s="1" t="s">
        <v>76</v>
      </c>
      <c r="F73" s="1" t="s">
        <v>39</v>
      </c>
      <c r="G73" s="9">
        <v>1291472.72</v>
      </c>
      <c r="H73" s="1">
        <v>1467807.33</v>
      </c>
      <c r="I73" s="1">
        <v>321</v>
      </c>
      <c r="J73" s="1">
        <v>396</v>
      </c>
      <c r="K73" s="1">
        <v>239141</v>
      </c>
      <c r="L73" s="1" t="s">
        <v>30</v>
      </c>
      <c r="M73" s="1" t="s">
        <v>33</v>
      </c>
      <c r="N73" s="1">
        <v>3.7</v>
      </c>
    </row>
    <row r="74" spans="1:14" x14ac:dyDescent="0.3">
      <c r="A74" s="1" t="s">
        <v>176</v>
      </c>
      <c r="B74" s="1" t="s">
        <v>177</v>
      </c>
      <c r="C74" s="1">
        <v>35</v>
      </c>
      <c r="D74" s="1" t="s">
        <v>23</v>
      </c>
      <c r="E74" s="1" t="s">
        <v>48</v>
      </c>
      <c r="F74" s="1" t="s">
        <v>81</v>
      </c>
      <c r="G74" s="9">
        <v>1495433.49</v>
      </c>
      <c r="H74" s="1">
        <v>1089712.47</v>
      </c>
      <c r="I74" s="1">
        <v>803</v>
      </c>
      <c r="J74" s="1">
        <v>51</v>
      </c>
      <c r="K74" s="1">
        <v>67576</v>
      </c>
      <c r="L74" s="1" t="s">
        <v>19</v>
      </c>
      <c r="M74" s="1" t="s">
        <v>20</v>
      </c>
      <c r="N74" s="1">
        <v>2.9</v>
      </c>
    </row>
    <row r="75" spans="1:14" x14ac:dyDescent="0.3">
      <c r="A75" s="1" t="s">
        <v>178</v>
      </c>
      <c r="B75" s="1" t="s">
        <v>179</v>
      </c>
      <c r="C75" s="1">
        <v>39</v>
      </c>
      <c r="D75" s="1" t="s">
        <v>16</v>
      </c>
      <c r="E75" s="1" t="s">
        <v>45</v>
      </c>
      <c r="F75" s="1" t="s">
        <v>18</v>
      </c>
      <c r="G75" s="9">
        <v>1042042.14</v>
      </c>
      <c r="H75" s="1">
        <v>720544.49</v>
      </c>
      <c r="I75" s="1">
        <v>710</v>
      </c>
      <c r="J75" s="1">
        <v>421</v>
      </c>
      <c r="K75" s="1">
        <v>127910</v>
      </c>
      <c r="L75" s="1" t="s">
        <v>26</v>
      </c>
      <c r="M75" s="1" t="s">
        <v>33</v>
      </c>
      <c r="N75" s="1">
        <v>4</v>
      </c>
    </row>
    <row r="76" spans="1:14" x14ac:dyDescent="0.3">
      <c r="A76" s="1" t="s">
        <v>180</v>
      </c>
      <c r="B76" s="1" t="s">
        <v>181</v>
      </c>
      <c r="C76" s="1">
        <v>38</v>
      </c>
      <c r="D76" s="1" t="s">
        <v>23</v>
      </c>
      <c r="E76" s="1" t="s">
        <v>17</v>
      </c>
      <c r="F76" s="1" t="s">
        <v>18</v>
      </c>
      <c r="G76" s="9">
        <v>1455426.17</v>
      </c>
      <c r="H76" s="1">
        <v>1010437.64</v>
      </c>
      <c r="I76" s="1">
        <v>826</v>
      </c>
      <c r="J76" s="1">
        <v>427</v>
      </c>
      <c r="K76" s="1">
        <v>50388</v>
      </c>
      <c r="L76" s="1" t="s">
        <v>40</v>
      </c>
      <c r="M76" s="1" t="s">
        <v>33</v>
      </c>
      <c r="N76" s="1">
        <v>5</v>
      </c>
    </row>
    <row r="77" spans="1:14" x14ac:dyDescent="0.3">
      <c r="A77" s="1" t="s">
        <v>182</v>
      </c>
      <c r="B77" s="1" t="s">
        <v>183</v>
      </c>
      <c r="C77" s="1">
        <v>57</v>
      </c>
      <c r="D77" s="1" t="s">
        <v>16</v>
      </c>
      <c r="E77" s="1" t="s">
        <v>55</v>
      </c>
      <c r="F77" s="1" t="s">
        <v>25</v>
      </c>
      <c r="G77" s="9">
        <v>750247.19</v>
      </c>
      <c r="H77" s="1">
        <v>1105102.3899999999</v>
      </c>
      <c r="I77" s="1">
        <v>352</v>
      </c>
      <c r="J77" s="1">
        <v>109</v>
      </c>
      <c r="K77" s="1">
        <v>218297</v>
      </c>
      <c r="L77" s="1" t="s">
        <v>30</v>
      </c>
      <c r="M77" s="1" t="s">
        <v>20</v>
      </c>
      <c r="N77" s="1">
        <v>2.1</v>
      </c>
    </row>
    <row r="78" spans="1:14" x14ac:dyDescent="0.3">
      <c r="A78" s="1" t="s">
        <v>184</v>
      </c>
      <c r="B78" s="1" t="s">
        <v>185</v>
      </c>
      <c r="C78" s="1">
        <v>19</v>
      </c>
      <c r="D78" s="1" t="s">
        <v>23</v>
      </c>
      <c r="E78" s="1" t="s">
        <v>29</v>
      </c>
      <c r="F78" s="1" t="s">
        <v>39</v>
      </c>
      <c r="G78" s="9">
        <v>915263.14</v>
      </c>
      <c r="H78" s="1">
        <v>598243.66</v>
      </c>
      <c r="I78" s="1">
        <v>462</v>
      </c>
      <c r="J78" s="1">
        <v>164</v>
      </c>
      <c r="K78" s="1">
        <v>185156</v>
      </c>
      <c r="L78" s="1" t="s">
        <v>19</v>
      </c>
      <c r="M78" s="1" t="s">
        <v>33</v>
      </c>
      <c r="N78" s="1">
        <v>3.2</v>
      </c>
    </row>
    <row r="79" spans="1:14" x14ac:dyDescent="0.3">
      <c r="A79" s="1" t="s">
        <v>186</v>
      </c>
      <c r="B79" s="1" t="s">
        <v>187</v>
      </c>
      <c r="C79" s="1">
        <v>25</v>
      </c>
      <c r="D79" s="1" t="s">
        <v>23</v>
      </c>
      <c r="E79" s="1" t="s">
        <v>45</v>
      </c>
      <c r="F79" s="1" t="s">
        <v>25</v>
      </c>
      <c r="G79" s="9">
        <v>1249054.04</v>
      </c>
      <c r="H79" s="1">
        <v>1245938.76</v>
      </c>
      <c r="I79" s="1">
        <v>598</v>
      </c>
      <c r="J79" s="1">
        <v>265</v>
      </c>
      <c r="K79" s="1">
        <v>189793</v>
      </c>
      <c r="L79" s="1" t="s">
        <v>40</v>
      </c>
      <c r="M79" s="1" t="s">
        <v>33</v>
      </c>
      <c r="N79" s="1">
        <v>3.8</v>
      </c>
    </row>
    <row r="80" spans="1:14" x14ac:dyDescent="0.3">
      <c r="A80" s="1" t="s">
        <v>188</v>
      </c>
      <c r="B80" s="1" t="s">
        <v>189</v>
      </c>
      <c r="C80" s="1">
        <v>53</v>
      </c>
      <c r="D80" s="1" t="s">
        <v>23</v>
      </c>
      <c r="E80" s="1" t="s">
        <v>55</v>
      </c>
      <c r="F80" s="1" t="s">
        <v>25</v>
      </c>
      <c r="G80" s="9">
        <v>578461.09</v>
      </c>
      <c r="H80" s="1">
        <v>2304670.37</v>
      </c>
      <c r="I80" s="1">
        <v>820</v>
      </c>
      <c r="J80" s="1">
        <v>387</v>
      </c>
      <c r="K80" s="1">
        <v>57917</v>
      </c>
      <c r="L80" s="1" t="s">
        <v>26</v>
      </c>
      <c r="M80" s="1" t="s">
        <v>33</v>
      </c>
      <c r="N80" s="1">
        <v>4.5</v>
      </c>
    </row>
    <row r="81" spans="1:14" x14ac:dyDescent="0.3">
      <c r="A81" s="1" t="s">
        <v>190</v>
      </c>
      <c r="B81" s="1" t="s">
        <v>191</v>
      </c>
      <c r="C81" s="1">
        <v>70</v>
      </c>
      <c r="D81" s="1" t="s">
        <v>23</v>
      </c>
      <c r="E81" s="1" t="s">
        <v>45</v>
      </c>
      <c r="F81" s="1" t="s">
        <v>25</v>
      </c>
      <c r="G81" s="9">
        <v>427844.28</v>
      </c>
      <c r="H81" s="1">
        <v>746389.62</v>
      </c>
      <c r="I81" s="1">
        <v>893</v>
      </c>
      <c r="J81" s="1">
        <v>342</v>
      </c>
      <c r="K81" s="1">
        <v>20672</v>
      </c>
      <c r="L81" s="1" t="s">
        <v>26</v>
      </c>
      <c r="M81" s="1" t="s">
        <v>33</v>
      </c>
      <c r="N81" s="1">
        <v>3</v>
      </c>
    </row>
    <row r="82" spans="1:14" x14ac:dyDescent="0.3">
      <c r="A82" s="1" t="s">
        <v>192</v>
      </c>
      <c r="B82" s="1" t="s">
        <v>193</v>
      </c>
      <c r="C82" s="1">
        <v>53</v>
      </c>
      <c r="D82" s="1" t="s">
        <v>23</v>
      </c>
      <c r="E82" s="1" t="s">
        <v>17</v>
      </c>
      <c r="F82" s="1" t="s">
        <v>39</v>
      </c>
      <c r="G82" s="9">
        <v>817427.94</v>
      </c>
      <c r="H82" s="1">
        <v>1138361.54</v>
      </c>
      <c r="I82" s="1">
        <v>629</v>
      </c>
      <c r="J82" s="1">
        <v>450</v>
      </c>
      <c r="K82" s="1">
        <v>219982</v>
      </c>
      <c r="L82" s="1" t="s">
        <v>30</v>
      </c>
      <c r="M82" s="1" t="s">
        <v>20</v>
      </c>
      <c r="N82" s="1">
        <v>1.8</v>
      </c>
    </row>
    <row r="83" spans="1:14" x14ac:dyDescent="0.3">
      <c r="A83" s="1" t="s">
        <v>194</v>
      </c>
      <c r="B83" s="1" t="s">
        <v>195</v>
      </c>
      <c r="C83" s="1">
        <v>38</v>
      </c>
      <c r="D83" s="1" t="s">
        <v>23</v>
      </c>
      <c r="E83" s="1" t="s">
        <v>45</v>
      </c>
      <c r="F83" s="1" t="s">
        <v>18</v>
      </c>
      <c r="G83" s="9">
        <v>712099.49</v>
      </c>
      <c r="H83" s="1">
        <v>2283575.42</v>
      </c>
      <c r="I83" s="1">
        <v>690</v>
      </c>
      <c r="J83" s="1">
        <v>202</v>
      </c>
      <c r="K83" s="1">
        <v>215219</v>
      </c>
      <c r="L83" s="1" t="s">
        <v>40</v>
      </c>
      <c r="M83" s="1" t="s">
        <v>33</v>
      </c>
      <c r="N83" s="1">
        <v>5</v>
      </c>
    </row>
    <row r="84" spans="1:14" x14ac:dyDescent="0.3">
      <c r="A84" s="1" t="s">
        <v>196</v>
      </c>
      <c r="B84" s="1" t="s">
        <v>197</v>
      </c>
      <c r="C84" s="1">
        <v>24</v>
      </c>
      <c r="D84" s="1" t="s">
        <v>23</v>
      </c>
      <c r="E84" s="1" t="s">
        <v>38</v>
      </c>
      <c r="F84" s="1" t="s">
        <v>18</v>
      </c>
      <c r="G84" s="9">
        <v>1268333.94</v>
      </c>
      <c r="H84" s="1">
        <v>249279.24</v>
      </c>
      <c r="I84" s="1">
        <v>767</v>
      </c>
      <c r="J84" s="1">
        <v>12</v>
      </c>
      <c r="K84" s="1">
        <v>249163</v>
      </c>
      <c r="L84" s="1" t="s">
        <v>30</v>
      </c>
      <c r="M84" s="1" t="s">
        <v>33</v>
      </c>
      <c r="N84" s="1">
        <v>3.9</v>
      </c>
    </row>
    <row r="85" spans="1:14" x14ac:dyDescent="0.3">
      <c r="A85" s="1" t="s">
        <v>198</v>
      </c>
      <c r="B85" s="1" t="s">
        <v>199</v>
      </c>
      <c r="C85" s="1">
        <v>39</v>
      </c>
      <c r="D85" s="1" t="s">
        <v>23</v>
      </c>
      <c r="E85" s="1" t="s">
        <v>48</v>
      </c>
      <c r="F85" s="1" t="s">
        <v>25</v>
      </c>
      <c r="G85" s="9">
        <v>1040593.37</v>
      </c>
      <c r="H85" s="1">
        <v>1624591.63</v>
      </c>
      <c r="I85" s="1">
        <v>636</v>
      </c>
      <c r="J85" s="1">
        <v>441</v>
      </c>
      <c r="K85" s="1">
        <v>183383</v>
      </c>
      <c r="L85" s="1" t="s">
        <v>19</v>
      </c>
      <c r="M85" s="1" t="s">
        <v>20</v>
      </c>
      <c r="N85" s="1">
        <v>3.7</v>
      </c>
    </row>
    <row r="86" spans="1:14" x14ac:dyDescent="0.3">
      <c r="A86" s="1" t="s">
        <v>200</v>
      </c>
      <c r="B86" s="1" t="s">
        <v>201</v>
      </c>
      <c r="C86" s="1">
        <v>33</v>
      </c>
      <c r="D86" s="1" t="s">
        <v>23</v>
      </c>
      <c r="E86" s="1" t="s">
        <v>29</v>
      </c>
      <c r="F86" s="1" t="s">
        <v>25</v>
      </c>
      <c r="G86" s="9">
        <v>1028177.36</v>
      </c>
      <c r="H86" s="1">
        <v>718447.51</v>
      </c>
      <c r="I86" s="1">
        <v>532</v>
      </c>
      <c r="J86" s="1">
        <v>387</v>
      </c>
      <c r="K86" s="1">
        <v>185455</v>
      </c>
      <c r="L86" s="1" t="s">
        <v>40</v>
      </c>
      <c r="M86" s="1" t="s">
        <v>33</v>
      </c>
      <c r="N86" s="1">
        <v>1.4</v>
      </c>
    </row>
    <row r="87" spans="1:14" x14ac:dyDescent="0.3">
      <c r="A87" s="1" t="s">
        <v>202</v>
      </c>
      <c r="B87" s="1" t="s">
        <v>203</v>
      </c>
      <c r="C87" s="1">
        <v>19</v>
      </c>
      <c r="D87" s="1" t="s">
        <v>23</v>
      </c>
      <c r="E87" s="1" t="s">
        <v>17</v>
      </c>
      <c r="F87" s="1" t="s">
        <v>39</v>
      </c>
      <c r="G87" s="9">
        <v>489940.13</v>
      </c>
      <c r="H87" s="1">
        <v>140298.07</v>
      </c>
      <c r="I87" s="1">
        <v>667</v>
      </c>
      <c r="J87" s="1">
        <v>196</v>
      </c>
      <c r="K87" s="1">
        <v>32056</v>
      </c>
      <c r="L87" s="1" t="s">
        <v>40</v>
      </c>
      <c r="M87" s="1" t="s">
        <v>20</v>
      </c>
      <c r="N87" s="1">
        <v>2.7</v>
      </c>
    </row>
    <row r="88" spans="1:14" x14ac:dyDescent="0.3">
      <c r="A88" s="1" t="s">
        <v>204</v>
      </c>
      <c r="B88" s="1" t="s">
        <v>205</v>
      </c>
      <c r="C88" s="1">
        <v>23</v>
      </c>
      <c r="D88" s="1" t="s">
        <v>23</v>
      </c>
      <c r="E88" s="1" t="s">
        <v>24</v>
      </c>
      <c r="F88" s="1" t="s">
        <v>25</v>
      </c>
      <c r="G88" s="9">
        <v>1306905.2</v>
      </c>
      <c r="H88" s="1">
        <v>1549275.92</v>
      </c>
      <c r="I88" s="1">
        <v>546</v>
      </c>
      <c r="J88" s="1">
        <v>259</v>
      </c>
      <c r="K88" s="1">
        <v>179774</v>
      </c>
      <c r="L88" s="1" t="s">
        <v>26</v>
      </c>
      <c r="M88" s="1" t="s">
        <v>33</v>
      </c>
      <c r="N88" s="1">
        <v>4.7</v>
      </c>
    </row>
    <row r="89" spans="1:14" x14ac:dyDescent="0.3">
      <c r="A89" s="1" t="s">
        <v>206</v>
      </c>
      <c r="B89" s="1" t="s">
        <v>207</v>
      </c>
      <c r="C89" s="1">
        <v>34</v>
      </c>
      <c r="D89" s="1" t="s">
        <v>23</v>
      </c>
      <c r="E89" s="1" t="s">
        <v>45</v>
      </c>
      <c r="F89" s="1" t="s">
        <v>81</v>
      </c>
      <c r="G89" s="9">
        <v>19049.16</v>
      </c>
      <c r="H89" s="1">
        <v>2011582.69</v>
      </c>
      <c r="I89" s="1">
        <v>594</v>
      </c>
      <c r="J89" s="1">
        <v>351</v>
      </c>
      <c r="K89" s="1">
        <v>194808</v>
      </c>
      <c r="L89" s="1" t="s">
        <v>26</v>
      </c>
      <c r="M89" s="1" t="s">
        <v>33</v>
      </c>
      <c r="N89" s="1">
        <v>3.2</v>
      </c>
    </row>
    <row r="90" spans="1:14" x14ac:dyDescent="0.3">
      <c r="A90" s="1" t="s">
        <v>208</v>
      </c>
      <c r="B90" s="1" t="s">
        <v>209</v>
      </c>
      <c r="C90" s="1">
        <v>62</v>
      </c>
      <c r="D90" s="1" t="s">
        <v>23</v>
      </c>
      <c r="E90" s="1" t="s">
        <v>17</v>
      </c>
      <c r="F90" s="1" t="s">
        <v>81</v>
      </c>
      <c r="G90" s="9">
        <v>687969.54</v>
      </c>
      <c r="H90" s="1">
        <v>755304.18</v>
      </c>
      <c r="I90" s="1">
        <v>693</v>
      </c>
      <c r="J90" s="1">
        <v>441</v>
      </c>
      <c r="K90" s="1">
        <v>85561</v>
      </c>
      <c r="L90" s="1" t="s">
        <v>26</v>
      </c>
      <c r="M90" s="1" t="s">
        <v>33</v>
      </c>
      <c r="N90" s="1">
        <v>2.9</v>
      </c>
    </row>
    <row r="91" spans="1:14" x14ac:dyDescent="0.3">
      <c r="A91" s="1" t="s">
        <v>210</v>
      </c>
      <c r="B91" s="1" t="s">
        <v>211</v>
      </c>
      <c r="C91" s="1">
        <v>19</v>
      </c>
      <c r="D91" s="1" t="s">
        <v>23</v>
      </c>
      <c r="E91" s="1" t="s">
        <v>45</v>
      </c>
      <c r="F91" s="1" t="s">
        <v>81</v>
      </c>
      <c r="G91" s="9">
        <v>989053.57</v>
      </c>
      <c r="H91" s="1">
        <v>686200.95</v>
      </c>
      <c r="I91" s="1">
        <v>879</v>
      </c>
      <c r="J91" s="1">
        <v>447</v>
      </c>
      <c r="K91" s="1">
        <v>237589</v>
      </c>
      <c r="L91" s="1" t="s">
        <v>40</v>
      </c>
      <c r="M91" s="1" t="s">
        <v>33</v>
      </c>
      <c r="N91" s="1">
        <v>3.7</v>
      </c>
    </row>
    <row r="92" spans="1:14" x14ac:dyDescent="0.3">
      <c r="A92" s="1" t="s">
        <v>212</v>
      </c>
      <c r="B92" s="1" t="s">
        <v>213</v>
      </c>
      <c r="C92" s="1">
        <v>32</v>
      </c>
      <c r="D92" s="1" t="s">
        <v>23</v>
      </c>
      <c r="E92" s="1" t="s">
        <v>55</v>
      </c>
      <c r="F92" s="1" t="s">
        <v>25</v>
      </c>
      <c r="G92" s="9">
        <v>289247.32</v>
      </c>
      <c r="H92" s="1">
        <v>626567</v>
      </c>
      <c r="I92" s="1">
        <v>440</v>
      </c>
      <c r="J92" s="1">
        <v>326</v>
      </c>
      <c r="K92" s="1">
        <v>186885</v>
      </c>
      <c r="L92" s="1" t="s">
        <v>19</v>
      </c>
      <c r="M92" s="1" t="s">
        <v>33</v>
      </c>
      <c r="N92" s="1">
        <v>1.4</v>
      </c>
    </row>
    <row r="93" spans="1:14" x14ac:dyDescent="0.3">
      <c r="A93" s="1" t="s">
        <v>214</v>
      </c>
      <c r="B93" s="1" t="s">
        <v>215</v>
      </c>
      <c r="C93" s="1">
        <v>64</v>
      </c>
      <c r="D93" s="1" t="s">
        <v>23</v>
      </c>
      <c r="E93" s="1" t="s">
        <v>55</v>
      </c>
      <c r="F93" s="1" t="s">
        <v>39</v>
      </c>
      <c r="G93" s="9">
        <v>139749.4</v>
      </c>
      <c r="H93" s="1">
        <v>737776.13</v>
      </c>
      <c r="I93" s="1">
        <v>725</v>
      </c>
      <c r="J93" s="1">
        <v>94</v>
      </c>
      <c r="K93" s="1">
        <v>54448</v>
      </c>
      <c r="L93" s="1" t="s">
        <v>26</v>
      </c>
      <c r="M93" s="1" t="s">
        <v>33</v>
      </c>
      <c r="N93" s="1">
        <v>1.8</v>
      </c>
    </row>
    <row r="94" spans="1:14" x14ac:dyDescent="0.3">
      <c r="A94" s="1" t="s">
        <v>216</v>
      </c>
      <c r="B94" s="1" t="s">
        <v>217</v>
      </c>
      <c r="C94" s="1">
        <v>69</v>
      </c>
      <c r="D94" s="1" t="s">
        <v>23</v>
      </c>
      <c r="E94" s="1" t="s">
        <v>24</v>
      </c>
      <c r="F94" s="1" t="s">
        <v>25</v>
      </c>
      <c r="G94" s="9">
        <v>1121106.23</v>
      </c>
      <c r="H94" s="1">
        <v>846788.13</v>
      </c>
      <c r="I94" s="1">
        <v>417</v>
      </c>
      <c r="J94" s="1">
        <v>244</v>
      </c>
      <c r="K94" s="1">
        <v>97369</v>
      </c>
      <c r="L94" s="1" t="s">
        <v>26</v>
      </c>
      <c r="M94" s="1" t="s">
        <v>20</v>
      </c>
      <c r="N94" s="1">
        <v>4.9000000000000004</v>
      </c>
    </row>
    <row r="95" spans="1:14" x14ac:dyDescent="0.3">
      <c r="A95" s="1" t="s">
        <v>218</v>
      </c>
      <c r="B95" s="1" t="s">
        <v>219</v>
      </c>
      <c r="C95" s="1">
        <v>68</v>
      </c>
      <c r="D95" s="1" t="s">
        <v>23</v>
      </c>
      <c r="E95" s="1" t="s">
        <v>17</v>
      </c>
      <c r="F95" s="1" t="s">
        <v>81</v>
      </c>
      <c r="G95" s="9">
        <v>25808.39</v>
      </c>
      <c r="H95" s="1">
        <v>1341430.77</v>
      </c>
      <c r="I95" s="1">
        <v>765</v>
      </c>
      <c r="J95" s="1">
        <v>193</v>
      </c>
      <c r="K95" s="1">
        <v>123435</v>
      </c>
      <c r="L95" s="1" t="s">
        <v>19</v>
      </c>
      <c r="M95" s="1" t="s">
        <v>20</v>
      </c>
      <c r="N95" s="1">
        <v>3.7</v>
      </c>
    </row>
    <row r="96" spans="1:14" x14ac:dyDescent="0.3">
      <c r="A96" s="1" t="s">
        <v>220</v>
      </c>
      <c r="B96" s="1" t="s">
        <v>221</v>
      </c>
      <c r="C96" s="1">
        <v>48</v>
      </c>
      <c r="D96" s="1" t="s">
        <v>23</v>
      </c>
      <c r="E96" s="1" t="s">
        <v>45</v>
      </c>
      <c r="F96" s="1" t="s">
        <v>81</v>
      </c>
      <c r="G96" s="9">
        <v>931222.57</v>
      </c>
      <c r="H96" s="1">
        <v>2357922.84</v>
      </c>
      <c r="I96" s="1">
        <v>635</v>
      </c>
      <c r="J96" s="1">
        <v>473</v>
      </c>
      <c r="K96" s="1">
        <v>26560</v>
      </c>
      <c r="L96" s="1" t="s">
        <v>30</v>
      </c>
      <c r="M96" s="1" t="s">
        <v>20</v>
      </c>
      <c r="N96" s="1">
        <v>3.4</v>
      </c>
    </row>
    <row r="97" spans="1:14" x14ac:dyDescent="0.3">
      <c r="A97" s="1" t="s">
        <v>222</v>
      </c>
      <c r="B97" s="1" t="s">
        <v>223</v>
      </c>
      <c r="C97" s="1">
        <v>26</v>
      </c>
      <c r="D97" s="1" t="s">
        <v>23</v>
      </c>
      <c r="E97" s="1" t="s">
        <v>17</v>
      </c>
      <c r="F97" s="1" t="s">
        <v>25</v>
      </c>
      <c r="G97" s="9">
        <v>1419660.99</v>
      </c>
      <c r="H97" s="1">
        <v>760911.46</v>
      </c>
      <c r="I97" s="1">
        <v>804</v>
      </c>
      <c r="J97" s="1">
        <v>64</v>
      </c>
      <c r="K97" s="1">
        <v>31887</v>
      </c>
      <c r="L97" s="1" t="s">
        <v>26</v>
      </c>
      <c r="M97" s="1" t="s">
        <v>33</v>
      </c>
      <c r="N97" s="1">
        <v>1.4</v>
      </c>
    </row>
    <row r="98" spans="1:14" x14ac:dyDescent="0.3">
      <c r="A98" s="1" t="s">
        <v>224</v>
      </c>
      <c r="B98" s="1" t="s">
        <v>225</v>
      </c>
      <c r="C98" s="1">
        <v>55</v>
      </c>
      <c r="D98" s="1" t="s">
        <v>23</v>
      </c>
      <c r="E98" s="1" t="s">
        <v>55</v>
      </c>
      <c r="F98" s="1" t="s">
        <v>18</v>
      </c>
      <c r="G98" s="9">
        <v>1091265.73</v>
      </c>
      <c r="H98" s="1">
        <v>2213534.46</v>
      </c>
      <c r="I98" s="1">
        <v>401</v>
      </c>
      <c r="J98" s="1">
        <v>431</v>
      </c>
      <c r="K98" s="1">
        <v>214581</v>
      </c>
      <c r="L98" s="1" t="s">
        <v>26</v>
      </c>
      <c r="M98" s="1" t="s">
        <v>20</v>
      </c>
      <c r="N98" s="1">
        <v>3</v>
      </c>
    </row>
    <row r="99" spans="1:14" x14ac:dyDescent="0.3">
      <c r="A99" s="1" t="s">
        <v>226</v>
      </c>
      <c r="B99" s="1" t="s">
        <v>227</v>
      </c>
      <c r="C99" s="1">
        <v>46</v>
      </c>
      <c r="D99" s="1" t="s">
        <v>23</v>
      </c>
      <c r="E99" s="1" t="s">
        <v>76</v>
      </c>
      <c r="F99" s="1" t="s">
        <v>25</v>
      </c>
      <c r="G99" s="9">
        <v>1426079.98</v>
      </c>
      <c r="H99" s="1">
        <v>2138625.48</v>
      </c>
      <c r="I99" s="1">
        <v>401</v>
      </c>
      <c r="J99" s="1">
        <v>356</v>
      </c>
      <c r="K99" s="1">
        <v>136574</v>
      </c>
      <c r="L99" s="1" t="s">
        <v>26</v>
      </c>
      <c r="M99" s="1" t="s">
        <v>20</v>
      </c>
      <c r="N99" s="1">
        <v>2.5</v>
      </c>
    </row>
    <row r="100" spans="1:14" x14ac:dyDescent="0.3">
      <c r="A100" s="1" t="s">
        <v>228</v>
      </c>
      <c r="B100" s="1" t="s">
        <v>229</v>
      </c>
      <c r="C100" s="1">
        <v>25</v>
      </c>
      <c r="D100" s="1" t="s">
        <v>23</v>
      </c>
      <c r="E100" s="1" t="s">
        <v>76</v>
      </c>
      <c r="F100" s="1" t="s">
        <v>81</v>
      </c>
      <c r="G100" s="9">
        <v>1237165.67</v>
      </c>
      <c r="H100" s="1">
        <v>229183.56</v>
      </c>
      <c r="I100" s="1">
        <v>517</v>
      </c>
      <c r="J100" s="1">
        <v>333</v>
      </c>
      <c r="K100" s="1">
        <v>242306</v>
      </c>
      <c r="L100" s="1" t="s">
        <v>40</v>
      </c>
      <c r="M100" s="1" t="s">
        <v>20</v>
      </c>
      <c r="N100" s="1">
        <v>3.6</v>
      </c>
    </row>
    <row r="101" spans="1:14" x14ac:dyDescent="0.3">
      <c r="A101" s="1" t="s">
        <v>230</v>
      </c>
      <c r="B101" s="1" t="s">
        <v>231</v>
      </c>
      <c r="C101" s="1">
        <v>68</v>
      </c>
      <c r="D101" s="1" t="s">
        <v>23</v>
      </c>
      <c r="E101" s="1" t="s">
        <v>48</v>
      </c>
      <c r="F101" s="1" t="s">
        <v>39</v>
      </c>
      <c r="G101" s="9">
        <v>311782.33</v>
      </c>
      <c r="H101" s="1">
        <v>2074544.59</v>
      </c>
      <c r="I101" s="1">
        <v>867</v>
      </c>
      <c r="J101" s="1">
        <v>111</v>
      </c>
      <c r="K101" s="1">
        <v>168000</v>
      </c>
      <c r="L101" s="1" t="s">
        <v>19</v>
      </c>
      <c r="M101" s="1" t="s">
        <v>33</v>
      </c>
      <c r="N101" s="1">
        <v>3.3</v>
      </c>
    </row>
    <row r="102" spans="1:14" x14ac:dyDescent="0.3">
      <c r="A102" s="1" t="s">
        <v>232</v>
      </c>
      <c r="B102" s="1" t="s">
        <v>233</v>
      </c>
      <c r="C102" s="1">
        <v>27</v>
      </c>
      <c r="D102" s="1" t="s">
        <v>23</v>
      </c>
      <c r="E102" s="1" t="s">
        <v>76</v>
      </c>
      <c r="F102" s="1" t="s">
        <v>81</v>
      </c>
      <c r="G102" s="9">
        <v>812622.11</v>
      </c>
      <c r="H102" s="1">
        <v>1996284.56</v>
      </c>
      <c r="I102" s="1">
        <v>412</v>
      </c>
      <c r="J102" s="1">
        <v>343</v>
      </c>
      <c r="K102" s="1">
        <v>54076</v>
      </c>
      <c r="L102" s="1" t="s">
        <v>40</v>
      </c>
      <c r="M102" s="1" t="s">
        <v>33</v>
      </c>
      <c r="N102" s="1">
        <v>4.5</v>
      </c>
    </row>
    <row r="103" spans="1:14" x14ac:dyDescent="0.3">
      <c r="A103" s="1" t="s">
        <v>234</v>
      </c>
      <c r="B103" s="1" t="s">
        <v>235</v>
      </c>
      <c r="C103" s="1">
        <v>19</v>
      </c>
      <c r="D103" s="1" t="s">
        <v>23</v>
      </c>
      <c r="E103" s="1" t="s">
        <v>45</v>
      </c>
      <c r="F103" s="1" t="s">
        <v>25</v>
      </c>
      <c r="G103" s="9">
        <v>401724.42</v>
      </c>
      <c r="H103" s="1">
        <v>316896.36</v>
      </c>
      <c r="I103" s="1">
        <v>731</v>
      </c>
      <c r="J103" s="1">
        <v>274</v>
      </c>
      <c r="K103" s="1">
        <v>65677</v>
      </c>
      <c r="L103" s="1" t="s">
        <v>26</v>
      </c>
      <c r="M103" s="1" t="s">
        <v>20</v>
      </c>
      <c r="N103" s="1">
        <v>1.5</v>
      </c>
    </row>
    <row r="104" spans="1:14" x14ac:dyDescent="0.3">
      <c r="A104" s="1" t="s">
        <v>236</v>
      </c>
      <c r="B104" s="1" t="s">
        <v>237</v>
      </c>
      <c r="C104" s="1">
        <v>46</v>
      </c>
      <c r="D104" s="1" t="s">
        <v>23</v>
      </c>
      <c r="E104" s="1" t="s">
        <v>76</v>
      </c>
      <c r="F104" s="1" t="s">
        <v>25</v>
      </c>
      <c r="G104" s="9">
        <v>336216.89</v>
      </c>
      <c r="H104" s="1">
        <v>1537767.09</v>
      </c>
      <c r="I104" s="1">
        <v>833</v>
      </c>
      <c r="J104" s="1">
        <v>159</v>
      </c>
      <c r="K104" s="1">
        <v>152078</v>
      </c>
      <c r="L104" s="1" t="s">
        <v>30</v>
      </c>
      <c r="M104" s="1" t="s">
        <v>33</v>
      </c>
      <c r="N104" s="1">
        <v>2.8</v>
      </c>
    </row>
    <row r="105" spans="1:14" x14ac:dyDescent="0.3">
      <c r="A105" s="1" t="s">
        <v>238</v>
      </c>
      <c r="B105" s="1" t="s">
        <v>239</v>
      </c>
      <c r="C105" s="1">
        <v>61</v>
      </c>
      <c r="D105" s="1" t="s">
        <v>23</v>
      </c>
      <c r="E105" s="1" t="s">
        <v>29</v>
      </c>
      <c r="F105" s="1" t="s">
        <v>39</v>
      </c>
      <c r="G105" s="9">
        <v>737951.94</v>
      </c>
      <c r="H105" s="1">
        <v>2274252.0699999998</v>
      </c>
      <c r="I105" s="1">
        <v>375</v>
      </c>
      <c r="J105" s="1">
        <v>465</v>
      </c>
      <c r="K105" s="1">
        <v>48301</v>
      </c>
      <c r="L105" s="1" t="s">
        <v>26</v>
      </c>
      <c r="M105" s="1" t="s">
        <v>33</v>
      </c>
      <c r="N105" s="1">
        <v>1.3</v>
      </c>
    </row>
    <row r="106" spans="1:14" x14ac:dyDescent="0.3">
      <c r="A106" s="1" t="s">
        <v>240</v>
      </c>
      <c r="B106" s="1" t="s">
        <v>241</v>
      </c>
      <c r="C106" s="1">
        <v>42</v>
      </c>
      <c r="D106" s="1" t="s">
        <v>23</v>
      </c>
      <c r="E106" s="1" t="s">
        <v>24</v>
      </c>
      <c r="F106" s="1" t="s">
        <v>25</v>
      </c>
      <c r="G106" s="9">
        <v>798182.47</v>
      </c>
      <c r="H106" s="1">
        <v>1134288.54</v>
      </c>
      <c r="I106" s="1">
        <v>740</v>
      </c>
      <c r="J106" s="1">
        <v>55</v>
      </c>
      <c r="K106" s="1">
        <v>176602</v>
      </c>
      <c r="L106" s="1" t="s">
        <v>30</v>
      </c>
      <c r="M106" s="1" t="s">
        <v>20</v>
      </c>
      <c r="N106" s="1">
        <v>4.2</v>
      </c>
    </row>
    <row r="107" spans="1:14" x14ac:dyDescent="0.3">
      <c r="A107" s="1" t="s">
        <v>242</v>
      </c>
      <c r="B107" s="1" t="s">
        <v>243</v>
      </c>
      <c r="C107" s="1">
        <v>44</v>
      </c>
      <c r="D107" s="1" t="s">
        <v>23</v>
      </c>
      <c r="E107" s="1" t="s">
        <v>48</v>
      </c>
      <c r="F107" s="1" t="s">
        <v>39</v>
      </c>
      <c r="G107" s="9">
        <v>1241991.74</v>
      </c>
      <c r="H107" s="1">
        <v>996825.46</v>
      </c>
      <c r="I107" s="1">
        <v>397</v>
      </c>
      <c r="J107" s="1">
        <v>165</v>
      </c>
      <c r="K107" s="1">
        <v>108848</v>
      </c>
      <c r="L107" s="1" t="s">
        <v>30</v>
      </c>
      <c r="M107" s="1" t="s">
        <v>20</v>
      </c>
      <c r="N107" s="1">
        <v>2.7</v>
      </c>
    </row>
    <row r="108" spans="1:14" x14ac:dyDescent="0.3">
      <c r="A108" s="1" t="s">
        <v>244</v>
      </c>
      <c r="B108" s="1" t="s">
        <v>245</v>
      </c>
      <c r="C108" s="1">
        <v>23</v>
      </c>
      <c r="D108" s="1" t="s">
        <v>23</v>
      </c>
      <c r="E108" s="1" t="s">
        <v>48</v>
      </c>
      <c r="F108" s="1" t="s">
        <v>18</v>
      </c>
      <c r="G108" s="9">
        <v>132619.71</v>
      </c>
      <c r="H108" s="1">
        <v>1079691.3</v>
      </c>
      <c r="I108" s="1">
        <v>681</v>
      </c>
      <c r="J108" s="1">
        <v>420</v>
      </c>
      <c r="K108" s="1">
        <v>238044</v>
      </c>
      <c r="L108" s="1" t="s">
        <v>30</v>
      </c>
      <c r="M108" s="1" t="s">
        <v>33</v>
      </c>
      <c r="N108" s="1">
        <v>1.5</v>
      </c>
    </row>
    <row r="109" spans="1:14" x14ac:dyDescent="0.3">
      <c r="A109" s="1" t="s">
        <v>246</v>
      </c>
      <c r="B109" s="1" t="s">
        <v>247</v>
      </c>
      <c r="C109" s="1">
        <v>60</v>
      </c>
      <c r="D109" s="1" t="s">
        <v>23</v>
      </c>
      <c r="E109" s="1" t="s">
        <v>48</v>
      </c>
      <c r="F109" s="1" t="s">
        <v>18</v>
      </c>
      <c r="G109" s="9">
        <v>637290.6</v>
      </c>
      <c r="H109" s="1">
        <v>2289609.1800000002</v>
      </c>
      <c r="I109" s="1">
        <v>352</v>
      </c>
      <c r="J109" s="1">
        <v>500</v>
      </c>
      <c r="K109" s="1">
        <v>216682</v>
      </c>
      <c r="L109" s="1" t="s">
        <v>40</v>
      </c>
      <c r="M109" s="1" t="s">
        <v>20</v>
      </c>
      <c r="N109" s="1">
        <v>2.2000000000000002</v>
      </c>
    </row>
    <row r="110" spans="1:14" x14ac:dyDescent="0.3">
      <c r="A110" s="1" t="s">
        <v>248</v>
      </c>
      <c r="B110" s="1" t="s">
        <v>249</v>
      </c>
      <c r="C110" s="1">
        <v>60</v>
      </c>
      <c r="D110" s="1" t="s">
        <v>23</v>
      </c>
      <c r="E110" s="1" t="s">
        <v>24</v>
      </c>
      <c r="F110" s="1" t="s">
        <v>25</v>
      </c>
      <c r="G110" s="9">
        <v>340246.08</v>
      </c>
      <c r="H110" s="1">
        <v>270545.95</v>
      </c>
      <c r="I110" s="1">
        <v>869</v>
      </c>
      <c r="J110" s="1">
        <v>193</v>
      </c>
      <c r="K110" s="1">
        <v>146403</v>
      </c>
      <c r="L110" s="1" t="s">
        <v>19</v>
      </c>
      <c r="M110" s="1" t="s">
        <v>33</v>
      </c>
      <c r="N110" s="1">
        <v>1.5</v>
      </c>
    </row>
    <row r="111" spans="1:14" x14ac:dyDescent="0.3">
      <c r="A111" s="1" t="s">
        <v>250</v>
      </c>
      <c r="B111" s="1" t="s">
        <v>251</v>
      </c>
      <c r="C111" s="1">
        <v>19</v>
      </c>
      <c r="D111" s="1" t="s">
        <v>23</v>
      </c>
      <c r="E111" s="1" t="s">
        <v>17</v>
      </c>
      <c r="F111" s="1" t="s">
        <v>18</v>
      </c>
      <c r="G111" s="9">
        <v>413539.23</v>
      </c>
      <c r="H111" s="1">
        <v>1906023.79</v>
      </c>
      <c r="I111" s="1">
        <v>647</v>
      </c>
      <c r="J111" s="1">
        <v>184</v>
      </c>
      <c r="K111" s="1">
        <v>67294</v>
      </c>
      <c r="L111" s="1" t="s">
        <v>40</v>
      </c>
      <c r="M111" s="1" t="s">
        <v>20</v>
      </c>
      <c r="N111" s="1">
        <v>1</v>
      </c>
    </row>
    <row r="112" spans="1:14" x14ac:dyDescent="0.3">
      <c r="A112" s="1" t="s">
        <v>252</v>
      </c>
      <c r="B112" s="1" t="s">
        <v>253</v>
      </c>
      <c r="C112" s="1">
        <v>23</v>
      </c>
      <c r="D112" s="1" t="s">
        <v>23</v>
      </c>
      <c r="E112" s="1" t="s">
        <v>48</v>
      </c>
      <c r="F112" s="1" t="s">
        <v>18</v>
      </c>
      <c r="G112" s="9">
        <v>798071.62</v>
      </c>
      <c r="H112" s="1">
        <v>940486.01</v>
      </c>
      <c r="I112" s="1">
        <v>764</v>
      </c>
      <c r="J112" s="1">
        <v>179</v>
      </c>
      <c r="K112" s="1">
        <v>215588</v>
      </c>
      <c r="L112" s="1" t="s">
        <v>19</v>
      </c>
      <c r="M112" s="1" t="s">
        <v>20</v>
      </c>
      <c r="N112" s="1">
        <v>1.6</v>
      </c>
    </row>
    <row r="113" spans="1:14" x14ac:dyDescent="0.3">
      <c r="A113" s="1" t="s">
        <v>254</v>
      </c>
      <c r="B113" s="1" t="s">
        <v>255</v>
      </c>
      <c r="C113" s="1">
        <v>28</v>
      </c>
      <c r="D113" s="1" t="s">
        <v>23</v>
      </c>
      <c r="E113" s="1" t="s">
        <v>45</v>
      </c>
      <c r="F113" s="1" t="s">
        <v>25</v>
      </c>
      <c r="G113" s="9">
        <v>928668.08</v>
      </c>
      <c r="H113" s="1">
        <v>1684921.78</v>
      </c>
      <c r="I113" s="1">
        <v>578</v>
      </c>
      <c r="J113" s="1">
        <v>231</v>
      </c>
      <c r="K113" s="1">
        <v>217770</v>
      </c>
      <c r="L113" s="1" t="s">
        <v>26</v>
      </c>
      <c r="M113" s="1" t="s">
        <v>20</v>
      </c>
      <c r="N113" s="1">
        <v>3.6</v>
      </c>
    </row>
    <row r="114" spans="1:14" x14ac:dyDescent="0.3">
      <c r="A114" s="1" t="s">
        <v>256</v>
      </c>
      <c r="B114" s="1" t="s">
        <v>257</v>
      </c>
      <c r="C114" s="1">
        <v>66</v>
      </c>
      <c r="D114" s="1" t="s">
        <v>23</v>
      </c>
      <c r="E114" s="1" t="s">
        <v>55</v>
      </c>
      <c r="F114" s="1" t="s">
        <v>18</v>
      </c>
      <c r="G114" s="9">
        <v>175157.17</v>
      </c>
      <c r="H114" s="1">
        <v>1074784.08</v>
      </c>
      <c r="I114" s="1">
        <v>590</v>
      </c>
      <c r="J114" s="1">
        <v>352</v>
      </c>
      <c r="K114" s="1">
        <v>154308</v>
      </c>
      <c r="L114" s="1" t="s">
        <v>40</v>
      </c>
      <c r="M114" s="1" t="s">
        <v>33</v>
      </c>
      <c r="N114" s="1">
        <v>3.7</v>
      </c>
    </row>
    <row r="115" spans="1:14" x14ac:dyDescent="0.3">
      <c r="A115" s="1" t="s">
        <v>258</v>
      </c>
      <c r="B115" s="1" t="s">
        <v>259</v>
      </c>
      <c r="C115" s="1">
        <v>56</v>
      </c>
      <c r="D115" s="1" t="s">
        <v>23</v>
      </c>
      <c r="E115" s="1" t="s">
        <v>55</v>
      </c>
      <c r="F115" s="1" t="s">
        <v>81</v>
      </c>
      <c r="G115" s="9">
        <v>16492.189999999999</v>
      </c>
      <c r="H115" s="1">
        <v>753548.41</v>
      </c>
      <c r="I115" s="1">
        <v>516</v>
      </c>
      <c r="J115" s="1">
        <v>397</v>
      </c>
      <c r="K115" s="1">
        <v>34360</v>
      </c>
      <c r="L115" s="1" t="s">
        <v>19</v>
      </c>
      <c r="M115" s="1" t="s">
        <v>20</v>
      </c>
      <c r="N115" s="1">
        <v>1.5</v>
      </c>
    </row>
    <row r="116" spans="1:14" x14ac:dyDescent="0.3">
      <c r="A116" s="1" t="s">
        <v>260</v>
      </c>
      <c r="B116" s="1" t="s">
        <v>261</v>
      </c>
      <c r="C116" s="1">
        <v>49</v>
      </c>
      <c r="D116" s="1" t="s">
        <v>23</v>
      </c>
      <c r="E116" s="1" t="s">
        <v>29</v>
      </c>
      <c r="F116" s="1" t="s">
        <v>25</v>
      </c>
      <c r="G116" s="9">
        <v>648829.24</v>
      </c>
      <c r="H116" s="1">
        <v>322964.25</v>
      </c>
      <c r="I116" s="1">
        <v>845</v>
      </c>
      <c r="J116" s="1">
        <v>365</v>
      </c>
      <c r="K116" s="1">
        <v>215825</v>
      </c>
      <c r="L116" s="1" t="s">
        <v>19</v>
      </c>
      <c r="M116" s="1" t="s">
        <v>33</v>
      </c>
      <c r="N116" s="1">
        <v>1.9</v>
      </c>
    </row>
    <row r="117" spans="1:14" x14ac:dyDescent="0.3">
      <c r="A117" s="1" t="s">
        <v>262</v>
      </c>
      <c r="B117" s="1" t="s">
        <v>263</v>
      </c>
      <c r="C117" s="1">
        <v>19</v>
      </c>
      <c r="D117" s="1" t="s">
        <v>23</v>
      </c>
      <c r="E117" s="1" t="s">
        <v>55</v>
      </c>
      <c r="F117" s="1" t="s">
        <v>18</v>
      </c>
      <c r="G117" s="9">
        <v>1382137.84</v>
      </c>
      <c r="H117" s="1">
        <v>2155275.0299999998</v>
      </c>
      <c r="I117" s="1">
        <v>889</v>
      </c>
      <c r="J117" s="1">
        <v>224</v>
      </c>
      <c r="K117" s="1">
        <v>140521</v>
      </c>
      <c r="L117" s="1" t="s">
        <v>30</v>
      </c>
      <c r="M117" s="1" t="s">
        <v>20</v>
      </c>
      <c r="N117" s="1">
        <v>3.3</v>
      </c>
    </row>
    <row r="118" spans="1:14" x14ac:dyDescent="0.3">
      <c r="A118" s="1" t="s">
        <v>264</v>
      </c>
      <c r="B118" s="1" t="s">
        <v>265</v>
      </c>
      <c r="C118" s="1">
        <v>38</v>
      </c>
      <c r="D118" s="1" t="s">
        <v>23</v>
      </c>
      <c r="E118" s="1" t="s">
        <v>24</v>
      </c>
      <c r="F118" s="1" t="s">
        <v>25</v>
      </c>
      <c r="G118" s="9">
        <v>1202976.6200000001</v>
      </c>
      <c r="H118" s="1">
        <v>1545313.16</v>
      </c>
      <c r="I118" s="1">
        <v>670</v>
      </c>
      <c r="J118" s="1">
        <v>50</v>
      </c>
      <c r="K118" s="1">
        <v>65055</v>
      </c>
      <c r="L118" s="1" t="s">
        <v>30</v>
      </c>
      <c r="M118" s="1" t="s">
        <v>20</v>
      </c>
      <c r="N118" s="1">
        <v>2.7</v>
      </c>
    </row>
    <row r="119" spans="1:14" x14ac:dyDescent="0.3">
      <c r="A119" s="1" t="s">
        <v>266</v>
      </c>
      <c r="B119" s="1" t="s">
        <v>267</v>
      </c>
      <c r="C119" s="1">
        <v>43</v>
      </c>
      <c r="D119" s="1" t="s">
        <v>23</v>
      </c>
      <c r="E119" s="1" t="s">
        <v>24</v>
      </c>
      <c r="F119" s="1" t="s">
        <v>81</v>
      </c>
      <c r="G119" s="9">
        <v>468860.47</v>
      </c>
      <c r="H119" s="1">
        <v>848783.2</v>
      </c>
      <c r="I119" s="1">
        <v>641</v>
      </c>
      <c r="J119" s="1">
        <v>403</v>
      </c>
      <c r="K119" s="1">
        <v>248202</v>
      </c>
      <c r="L119" s="1" t="s">
        <v>26</v>
      </c>
      <c r="M119" s="1" t="s">
        <v>20</v>
      </c>
      <c r="N119" s="1">
        <v>1.7</v>
      </c>
    </row>
    <row r="120" spans="1:14" x14ac:dyDescent="0.3">
      <c r="A120" s="1" t="s">
        <v>268</v>
      </c>
      <c r="B120" s="1" t="s">
        <v>269</v>
      </c>
      <c r="C120" s="1">
        <v>33</v>
      </c>
      <c r="D120" s="1" t="s">
        <v>23</v>
      </c>
      <c r="E120" s="1" t="s">
        <v>38</v>
      </c>
      <c r="F120" s="1" t="s">
        <v>25</v>
      </c>
      <c r="G120" s="9">
        <v>223934.11</v>
      </c>
      <c r="H120" s="1">
        <v>493179.51</v>
      </c>
      <c r="I120" s="1">
        <v>456</v>
      </c>
      <c r="J120" s="1">
        <v>394</v>
      </c>
      <c r="K120" s="1">
        <v>46949</v>
      </c>
      <c r="L120" s="1" t="s">
        <v>30</v>
      </c>
      <c r="M120" s="1" t="s">
        <v>33</v>
      </c>
      <c r="N120" s="1">
        <v>4</v>
      </c>
    </row>
    <row r="121" spans="1:14" x14ac:dyDescent="0.3">
      <c r="A121" s="1" t="s">
        <v>270</v>
      </c>
      <c r="B121" s="1" t="s">
        <v>271</v>
      </c>
      <c r="C121" s="1">
        <v>61</v>
      </c>
      <c r="D121" s="1" t="s">
        <v>23</v>
      </c>
      <c r="E121" s="1" t="s">
        <v>38</v>
      </c>
      <c r="F121" s="1" t="s">
        <v>25</v>
      </c>
      <c r="G121" s="9">
        <v>966272.79</v>
      </c>
      <c r="H121" s="1">
        <v>2466329.87</v>
      </c>
      <c r="I121" s="1">
        <v>630</v>
      </c>
      <c r="J121" s="1">
        <v>447</v>
      </c>
      <c r="K121" s="1">
        <v>167978</v>
      </c>
      <c r="L121" s="1" t="s">
        <v>19</v>
      </c>
      <c r="M121" s="1" t="s">
        <v>33</v>
      </c>
      <c r="N121" s="1">
        <v>4.9000000000000004</v>
      </c>
    </row>
    <row r="122" spans="1:14" x14ac:dyDescent="0.3">
      <c r="A122" s="1" t="s">
        <v>272</v>
      </c>
      <c r="B122" s="1" t="s">
        <v>273</v>
      </c>
      <c r="C122" s="1">
        <v>46</v>
      </c>
      <c r="D122" s="1" t="s">
        <v>23</v>
      </c>
      <c r="E122" s="1" t="s">
        <v>45</v>
      </c>
      <c r="F122" s="1" t="s">
        <v>25</v>
      </c>
      <c r="G122" s="9">
        <v>457716.55</v>
      </c>
      <c r="H122" s="1">
        <v>686684.17</v>
      </c>
      <c r="I122" s="1">
        <v>357</v>
      </c>
      <c r="J122" s="1">
        <v>185</v>
      </c>
      <c r="K122" s="1">
        <v>185513</v>
      </c>
      <c r="L122" s="1" t="s">
        <v>19</v>
      </c>
      <c r="M122" s="1" t="s">
        <v>20</v>
      </c>
      <c r="N122" s="1">
        <v>3</v>
      </c>
    </row>
    <row r="123" spans="1:14" x14ac:dyDescent="0.3">
      <c r="A123" s="1" t="s">
        <v>274</v>
      </c>
      <c r="B123" s="1" t="s">
        <v>275</v>
      </c>
      <c r="C123" s="1">
        <v>41</v>
      </c>
      <c r="D123" s="1" t="s">
        <v>23</v>
      </c>
      <c r="E123" s="1" t="s">
        <v>45</v>
      </c>
      <c r="F123" s="1" t="s">
        <v>18</v>
      </c>
      <c r="G123" s="9">
        <v>434180.16</v>
      </c>
      <c r="H123" s="1">
        <v>1611666.17</v>
      </c>
      <c r="I123" s="1">
        <v>392</v>
      </c>
      <c r="J123" s="1">
        <v>319</v>
      </c>
      <c r="K123" s="1">
        <v>238024</v>
      </c>
      <c r="L123" s="1" t="s">
        <v>30</v>
      </c>
      <c r="M123" s="1" t="s">
        <v>20</v>
      </c>
      <c r="N123" s="1">
        <v>3.4</v>
      </c>
    </row>
    <row r="124" spans="1:14" x14ac:dyDescent="0.3">
      <c r="A124" s="1" t="s">
        <v>276</v>
      </c>
      <c r="B124" s="1" t="s">
        <v>277</v>
      </c>
      <c r="C124" s="1">
        <v>38</v>
      </c>
      <c r="D124" s="1" t="s">
        <v>23</v>
      </c>
      <c r="E124" s="1" t="s">
        <v>29</v>
      </c>
      <c r="F124" s="1" t="s">
        <v>39</v>
      </c>
      <c r="G124" s="9">
        <v>716065.4</v>
      </c>
      <c r="H124" s="1">
        <v>377152.69</v>
      </c>
      <c r="I124" s="1">
        <v>363</v>
      </c>
      <c r="J124" s="1">
        <v>235</v>
      </c>
      <c r="K124" s="1">
        <v>178598</v>
      </c>
      <c r="L124" s="1" t="s">
        <v>19</v>
      </c>
      <c r="M124" s="1" t="s">
        <v>20</v>
      </c>
      <c r="N124" s="1">
        <v>1.4</v>
      </c>
    </row>
    <row r="125" spans="1:14" x14ac:dyDescent="0.3">
      <c r="A125" s="1" t="s">
        <v>278</v>
      </c>
      <c r="B125" s="1" t="s">
        <v>279</v>
      </c>
      <c r="C125" s="1">
        <v>63</v>
      </c>
      <c r="D125" s="1" t="s">
        <v>23</v>
      </c>
      <c r="E125" s="1" t="s">
        <v>17</v>
      </c>
      <c r="F125" s="1" t="s">
        <v>25</v>
      </c>
      <c r="G125" s="9">
        <v>1486524.1</v>
      </c>
      <c r="H125" s="1">
        <v>1310171.3799999999</v>
      </c>
      <c r="I125" s="1">
        <v>462</v>
      </c>
      <c r="J125" s="1">
        <v>191</v>
      </c>
      <c r="K125" s="1">
        <v>134755</v>
      </c>
      <c r="L125" s="1" t="s">
        <v>26</v>
      </c>
      <c r="M125" s="1" t="s">
        <v>20</v>
      </c>
      <c r="N125" s="1">
        <v>2.5</v>
      </c>
    </row>
    <row r="126" spans="1:14" x14ac:dyDescent="0.3">
      <c r="A126" s="1" t="s">
        <v>280</v>
      </c>
      <c r="B126" s="1" t="s">
        <v>281</v>
      </c>
      <c r="C126" s="1">
        <v>68</v>
      </c>
      <c r="D126" s="1" t="s">
        <v>23</v>
      </c>
      <c r="E126" s="1" t="s">
        <v>55</v>
      </c>
      <c r="F126" s="1" t="s">
        <v>39</v>
      </c>
      <c r="G126" s="9">
        <v>972721.51</v>
      </c>
      <c r="H126" s="1">
        <v>164779.64000000001</v>
      </c>
      <c r="I126" s="1">
        <v>396</v>
      </c>
      <c r="J126" s="1">
        <v>290</v>
      </c>
      <c r="K126" s="1">
        <v>185383</v>
      </c>
      <c r="L126" s="1" t="s">
        <v>26</v>
      </c>
      <c r="M126" s="1" t="s">
        <v>20</v>
      </c>
      <c r="N126" s="1">
        <v>3.7</v>
      </c>
    </row>
    <row r="127" spans="1:14" x14ac:dyDescent="0.3">
      <c r="A127" s="1" t="s">
        <v>282</v>
      </c>
      <c r="B127" s="1" t="s">
        <v>283</v>
      </c>
      <c r="C127" s="1">
        <v>55</v>
      </c>
      <c r="D127" s="1" t="s">
        <v>23</v>
      </c>
      <c r="E127" s="1" t="s">
        <v>55</v>
      </c>
      <c r="F127" s="1" t="s">
        <v>25</v>
      </c>
      <c r="G127" s="9">
        <v>216435.43</v>
      </c>
      <c r="H127" s="1">
        <v>874551.97</v>
      </c>
      <c r="I127" s="1">
        <v>701</v>
      </c>
      <c r="J127" s="1">
        <v>71</v>
      </c>
      <c r="K127" s="1">
        <v>193961</v>
      </c>
      <c r="L127" s="1" t="s">
        <v>26</v>
      </c>
      <c r="M127" s="1" t="s">
        <v>20</v>
      </c>
      <c r="N127" s="1">
        <v>3.4</v>
      </c>
    </row>
    <row r="128" spans="1:14" x14ac:dyDescent="0.3">
      <c r="A128" s="1" t="s">
        <v>284</v>
      </c>
      <c r="B128" s="1" t="s">
        <v>285</v>
      </c>
      <c r="C128" s="1">
        <v>60</v>
      </c>
      <c r="D128" s="1" t="s">
        <v>23</v>
      </c>
      <c r="E128" s="1" t="s">
        <v>48</v>
      </c>
      <c r="F128" s="1" t="s">
        <v>18</v>
      </c>
      <c r="G128" s="9">
        <v>1244293.6599999999</v>
      </c>
      <c r="H128" s="1">
        <v>1846936.68</v>
      </c>
      <c r="I128" s="1">
        <v>839</v>
      </c>
      <c r="J128" s="1">
        <v>52</v>
      </c>
      <c r="K128" s="1">
        <v>204242</v>
      </c>
      <c r="L128" s="1" t="s">
        <v>26</v>
      </c>
      <c r="M128" s="1" t="s">
        <v>33</v>
      </c>
      <c r="N128" s="1">
        <v>3.6</v>
      </c>
    </row>
    <row r="129" spans="1:14" x14ac:dyDescent="0.3">
      <c r="A129" s="1" t="s">
        <v>286</v>
      </c>
      <c r="B129" s="1" t="s">
        <v>287</v>
      </c>
      <c r="C129" s="1">
        <v>29</v>
      </c>
      <c r="D129" s="1" t="s">
        <v>16</v>
      </c>
      <c r="E129" s="1" t="s">
        <v>29</v>
      </c>
      <c r="F129" s="1" t="s">
        <v>81</v>
      </c>
      <c r="G129" s="9">
        <v>515889.86</v>
      </c>
      <c r="H129" s="1">
        <v>1915390.52</v>
      </c>
      <c r="I129" s="1">
        <v>496</v>
      </c>
      <c r="J129" s="1">
        <v>120</v>
      </c>
      <c r="K129" s="1">
        <v>76149</v>
      </c>
      <c r="L129" s="1" t="s">
        <v>19</v>
      </c>
      <c r="M129" s="1" t="s">
        <v>20</v>
      </c>
      <c r="N129" s="1">
        <v>5</v>
      </c>
    </row>
    <row r="130" spans="1:14" x14ac:dyDescent="0.3">
      <c r="A130" s="1" t="s">
        <v>288</v>
      </c>
      <c r="B130" s="1" t="s">
        <v>289</v>
      </c>
      <c r="C130" s="1">
        <v>60</v>
      </c>
      <c r="D130" s="1" t="s">
        <v>23</v>
      </c>
      <c r="E130" s="1" t="s">
        <v>45</v>
      </c>
      <c r="F130" s="1" t="s">
        <v>18</v>
      </c>
      <c r="G130" s="9">
        <v>1315207.19</v>
      </c>
      <c r="H130" s="1">
        <v>1545078.66</v>
      </c>
      <c r="I130" s="1">
        <v>685</v>
      </c>
      <c r="J130" s="1">
        <v>83</v>
      </c>
      <c r="K130" s="1">
        <v>108280</v>
      </c>
      <c r="L130" s="1" t="s">
        <v>30</v>
      </c>
      <c r="M130" s="1" t="s">
        <v>33</v>
      </c>
      <c r="N130" s="1">
        <v>1.6</v>
      </c>
    </row>
    <row r="131" spans="1:14" x14ac:dyDescent="0.3">
      <c r="A131" s="1" t="s">
        <v>290</v>
      </c>
      <c r="B131" s="1" t="s">
        <v>291</v>
      </c>
      <c r="C131" s="1">
        <v>61</v>
      </c>
      <c r="D131" s="1" t="s">
        <v>23</v>
      </c>
      <c r="E131" s="1" t="s">
        <v>24</v>
      </c>
      <c r="F131" s="1" t="s">
        <v>39</v>
      </c>
      <c r="G131" s="9">
        <v>360107.65</v>
      </c>
      <c r="H131" s="1">
        <v>1110496.77</v>
      </c>
      <c r="I131" s="1">
        <v>591</v>
      </c>
      <c r="J131" s="1">
        <v>390</v>
      </c>
      <c r="K131" s="1">
        <v>208635</v>
      </c>
      <c r="L131" s="1" t="s">
        <v>26</v>
      </c>
      <c r="M131" s="1" t="s">
        <v>33</v>
      </c>
      <c r="N131" s="1">
        <v>4</v>
      </c>
    </row>
    <row r="132" spans="1:14" x14ac:dyDescent="0.3">
      <c r="A132" s="1" t="s">
        <v>292</v>
      </c>
      <c r="B132" s="1" t="s">
        <v>293</v>
      </c>
      <c r="C132" s="1">
        <v>30</v>
      </c>
      <c r="D132" s="1" t="s">
        <v>23</v>
      </c>
      <c r="E132" s="1" t="s">
        <v>17</v>
      </c>
      <c r="F132" s="1" t="s">
        <v>39</v>
      </c>
      <c r="G132" s="9">
        <v>1019068.7</v>
      </c>
      <c r="H132" s="1">
        <v>1426048.48</v>
      </c>
      <c r="I132" s="1">
        <v>751</v>
      </c>
      <c r="J132" s="1">
        <v>241</v>
      </c>
      <c r="K132" s="1">
        <v>116427</v>
      </c>
      <c r="L132" s="1" t="s">
        <v>40</v>
      </c>
      <c r="M132" s="1" t="s">
        <v>20</v>
      </c>
      <c r="N132" s="1">
        <v>4.0999999999999996</v>
      </c>
    </row>
    <row r="133" spans="1:14" x14ac:dyDescent="0.3">
      <c r="A133" s="1" t="s">
        <v>294</v>
      </c>
      <c r="B133" s="1" t="s">
        <v>295</v>
      </c>
      <c r="C133" s="1">
        <v>34</v>
      </c>
      <c r="D133" s="1" t="s">
        <v>23</v>
      </c>
      <c r="E133" s="1" t="s">
        <v>55</v>
      </c>
      <c r="F133" s="1" t="s">
        <v>18</v>
      </c>
      <c r="G133" s="9">
        <v>963562.66</v>
      </c>
      <c r="H133" s="1">
        <v>2185292.36</v>
      </c>
      <c r="I133" s="1">
        <v>867</v>
      </c>
      <c r="J133" s="1">
        <v>483</v>
      </c>
      <c r="K133" s="1">
        <v>33678</v>
      </c>
      <c r="L133" s="1" t="s">
        <v>40</v>
      </c>
      <c r="M133" s="1" t="s">
        <v>33</v>
      </c>
      <c r="N133" s="1">
        <v>1.4</v>
      </c>
    </row>
    <row r="134" spans="1:14" x14ac:dyDescent="0.3">
      <c r="A134" s="1" t="s">
        <v>296</v>
      </c>
      <c r="B134" s="1" t="s">
        <v>297</v>
      </c>
      <c r="C134" s="1">
        <v>46</v>
      </c>
      <c r="D134" s="1" t="s">
        <v>23</v>
      </c>
      <c r="E134" s="1" t="s">
        <v>76</v>
      </c>
      <c r="F134" s="1" t="s">
        <v>25</v>
      </c>
      <c r="G134" s="9">
        <v>225286.24</v>
      </c>
      <c r="H134" s="1">
        <v>1093681.3999999999</v>
      </c>
      <c r="I134" s="1">
        <v>527</v>
      </c>
      <c r="J134" s="1">
        <v>423</v>
      </c>
      <c r="K134" s="1">
        <v>154572</v>
      </c>
      <c r="L134" s="1" t="s">
        <v>19</v>
      </c>
      <c r="M134" s="1" t="s">
        <v>33</v>
      </c>
      <c r="N134" s="1">
        <v>2.8</v>
      </c>
    </row>
    <row r="135" spans="1:14" x14ac:dyDescent="0.3">
      <c r="A135" s="1" t="s">
        <v>298</v>
      </c>
      <c r="B135" s="1" t="s">
        <v>299</v>
      </c>
      <c r="C135" s="1">
        <v>50</v>
      </c>
      <c r="D135" s="1" t="s">
        <v>23</v>
      </c>
      <c r="E135" s="1" t="s">
        <v>48</v>
      </c>
      <c r="F135" s="1" t="s">
        <v>39</v>
      </c>
      <c r="G135" s="9">
        <v>357488.22</v>
      </c>
      <c r="H135" s="1">
        <v>2486313.38</v>
      </c>
      <c r="I135" s="1">
        <v>683</v>
      </c>
      <c r="J135" s="1">
        <v>119</v>
      </c>
      <c r="K135" s="1">
        <v>118031</v>
      </c>
      <c r="L135" s="1" t="s">
        <v>40</v>
      </c>
      <c r="M135" s="1" t="s">
        <v>20</v>
      </c>
      <c r="N135" s="1">
        <v>1.1000000000000001</v>
      </c>
    </row>
    <row r="136" spans="1:14" x14ac:dyDescent="0.3">
      <c r="A136" s="1" t="s">
        <v>300</v>
      </c>
      <c r="B136" s="1" t="s">
        <v>301</v>
      </c>
      <c r="C136" s="1">
        <v>36</v>
      </c>
      <c r="D136" s="1" t="s">
        <v>16</v>
      </c>
      <c r="E136" s="1" t="s">
        <v>76</v>
      </c>
      <c r="F136" s="1" t="s">
        <v>81</v>
      </c>
      <c r="G136" s="9">
        <v>711320.12</v>
      </c>
      <c r="H136" s="1">
        <v>2077776.21</v>
      </c>
      <c r="I136" s="1">
        <v>780</v>
      </c>
      <c r="J136" s="1">
        <v>234</v>
      </c>
      <c r="K136" s="1">
        <v>237517</v>
      </c>
      <c r="L136" s="1" t="s">
        <v>40</v>
      </c>
      <c r="M136" s="1" t="s">
        <v>20</v>
      </c>
      <c r="N136" s="1">
        <v>3.5</v>
      </c>
    </row>
    <row r="137" spans="1:14" x14ac:dyDescent="0.3">
      <c r="A137" s="1" t="s">
        <v>302</v>
      </c>
      <c r="B137" s="1" t="s">
        <v>303</v>
      </c>
      <c r="C137" s="1">
        <v>53</v>
      </c>
      <c r="D137" s="1" t="s">
        <v>23</v>
      </c>
      <c r="E137" s="1" t="s">
        <v>24</v>
      </c>
      <c r="F137" s="1" t="s">
        <v>25</v>
      </c>
      <c r="G137" s="9">
        <v>915275.75</v>
      </c>
      <c r="H137" s="1">
        <v>1058136.8999999999</v>
      </c>
      <c r="I137" s="1">
        <v>595</v>
      </c>
      <c r="J137" s="1">
        <v>126</v>
      </c>
      <c r="K137" s="1">
        <v>210640</v>
      </c>
      <c r="L137" s="1" t="s">
        <v>30</v>
      </c>
      <c r="M137" s="1" t="s">
        <v>20</v>
      </c>
      <c r="N137" s="1">
        <v>2.2000000000000002</v>
      </c>
    </row>
    <row r="138" spans="1:14" x14ac:dyDescent="0.3">
      <c r="A138" s="1" t="s">
        <v>304</v>
      </c>
      <c r="B138" s="1" t="s">
        <v>305</v>
      </c>
      <c r="C138" s="1">
        <v>25</v>
      </c>
      <c r="D138" s="1" t="s">
        <v>23</v>
      </c>
      <c r="E138" s="1" t="s">
        <v>38</v>
      </c>
      <c r="F138" s="1" t="s">
        <v>81</v>
      </c>
      <c r="G138" s="9">
        <v>1358194.59</v>
      </c>
      <c r="H138" s="1">
        <v>1491847.61</v>
      </c>
      <c r="I138" s="1">
        <v>316</v>
      </c>
      <c r="J138" s="1">
        <v>328</v>
      </c>
      <c r="K138" s="1">
        <v>239332</v>
      </c>
      <c r="L138" s="1" t="s">
        <v>30</v>
      </c>
      <c r="M138" s="1" t="s">
        <v>20</v>
      </c>
      <c r="N138" s="1">
        <v>3.1</v>
      </c>
    </row>
    <row r="139" spans="1:14" x14ac:dyDescent="0.3">
      <c r="A139" s="1" t="s">
        <v>306</v>
      </c>
      <c r="B139" s="1" t="s">
        <v>307</v>
      </c>
      <c r="C139" s="1">
        <v>57</v>
      </c>
      <c r="D139" s="1" t="s">
        <v>23</v>
      </c>
      <c r="E139" s="1" t="s">
        <v>76</v>
      </c>
      <c r="F139" s="1" t="s">
        <v>25</v>
      </c>
      <c r="G139" s="9">
        <v>364643.54</v>
      </c>
      <c r="H139" s="1">
        <v>1041418.99</v>
      </c>
      <c r="I139" s="1">
        <v>387</v>
      </c>
      <c r="J139" s="1">
        <v>273</v>
      </c>
      <c r="K139" s="1">
        <v>112488</v>
      </c>
      <c r="L139" s="1" t="s">
        <v>30</v>
      </c>
      <c r="M139" s="1" t="s">
        <v>20</v>
      </c>
      <c r="N139" s="1">
        <v>4.9000000000000004</v>
      </c>
    </row>
    <row r="140" spans="1:14" x14ac:dyDescent="0.3">
      <c r="A140" s="1" t="s">
        <v>308</v>
      </c>
      <c r="B140" s="1" t="s">
        <v>309</v>
      </c>
      <c r="C140" s="1">
        <v>58</v>
      </c>
      <c r="D140" s="1" t="s">
        <v>23</v>
      </c>
      <c r="E140" s="1" t="s">
        <v>24</v>
      </c>
      <c r="F140" s="1" t="s">
        <v>18</v>
      </c>
      <c r="G140" s="9">
        <v>1471653.94</v>
      </c>
      <c r="H140" s="1">
        <v>634125.65</v>
      </c>
      <c r="I140" s="1">
        <v>316</v>
      </c>
      <c r="J140" s="1">
        <v>187</v>
      </c>
      <c r="K140" s="1">
        <v>121418</v>
      </c>
      <c r="L140" s="1" t="s">
        <v>26</v>
      </c>
      <c r="M140" s="1" t="s">
        <v>20</v>
      </c>
      <c r="N140" s="1">
        <v>4.2</v>
      </c>
    </row>
    <row r="141" spans="1:14" x14ac:dyDescent="0.3">
      <c r="A141" s="1" t="s">
        <v>310</v>
      </c>
      <c r="B141" s="1" t="s">
        <v>311</v>
      </c>
      <c r="C141" s="1">
        <v>20</v>
      </c>
      <c r="D141" s="1" t="s">
        <v>23</v>
      </c>
      <c r="E141" s="1" t="s">
        <v>45</v>
      </c>
      <c r="F141" s="1" t="s">
        <v>39</v>
      </c>
      <c r="G141" s="9">
        <v>821290.55</v>
      </c>
      <c r="H141" s="1">
        <v>2033772.16</v>
      </c>
      <c r="I141" s="1">
        <v>479</v>
      </c>
      <c r="J141" s="1">
        <v>430</v>
      </c>
      <c r="K141" s="1">
        <v>112353</v>
      </c>
      <c r="L141" s="1" t="s">
        <v>40</v>
      </c>
      <c r="M141" s="1" t="s">
        <v>20</v>
      </c>
      <c r="N141" s="1">
        <v>4.0999999999999996</v>
      </c>
    </row>
    <row r="142" spans="1:14" x14ac:dyDescent="0.3">
      <c r="A142" s="1" t="s">
        <v>312</v>
      </c>
      <c r="B142" s="1" t="s">
        <v>313</v>
      </c>
      <c r="C142" s="1">
        <v>63</v>
      </c>
      <c r="D142" s="1" t="s">
        <v>23</v>
      </c>
      <c r="E142" s="1" t="s">
        <v>48</v>
      </c>
      <c r="F142" s="1" t="s">
        <v>81</v>
      </c>
      <c r="G142" s="9">
        <v>1415689.7</v>
      </c>
      <c r="H142" s="1">
        <v>92459.48</v>
      </c>
      <c r="I142" s="1">
        <v>506</v>
      </c>
      <c r="J142" s="1">
        <v>27</v>
      </c>
      <c r="K142" s="1">
        <v>223473</v>
      </c>
      <c r="L142" s="1" t="s">
        <v>30</v>
      </c>
      <c r="M142" s="1" t="s">
        <v>33</v>
      </c>
      <c r="N142" s="1">
        <v>4.2</v>
      </c>
    </row>
    <row r="143" spans="1:14" x14ac:dyDescent="0.3">
      <c r="A143" s="1" t="s">
        <v>314</v>
      </c>
      <c r="B143" s="1" t="s">
        <v>315</v>
      </c>
      <c r="C143" s="1">
        <v>34</v>
      </c>
      <c r="D143" s="1" t="s">
        <v>23</v>
      </c>
      <c r="E143" s="1" t="s">
        <v>55</v>
      </c>
      <c r="F143" s="1" t="s">
        <v>18</v>
      </c>
      <c r="G143" s="9">
        <v>1131169.92</v>
      </c>
      <c r="H143" s="1">
        <v>477758.58</v>
      </c>
      <c r="I143" s="1">
        <v>665</v>
      </c>
      <c r="J143" s="1">
        <v>446</v>
      </c>
      <c r="K143" s="1">
        <v>29599</v>
      </c>
      <c r="L143" s="1" t="s">
        <v>26</v>
      </c>
      <c r="M143" s="1" t="s">
        <v>33</v>
      </c>
      <c r="N143" s="1">
        <v>4.0999999999999996</v>
      </c>
    </row>
    <row r="144" spans="1:14" x14ac:dyDescent="0.3">
      <c r="A144" s="1" t="s">
        <v>316</v>
      </c>
      <c r="B144" s="1" t="s">
        <v>317</v>
      </c>
      <c r="C144" s="1">
        <v>43</v>
      </c>
      <c r="D144" s="1" t="s">
        <v>23</v>
      </c>
      <c r="E144" s="1" t="s">
        <v>48</v>
      </c>
      <c r="F144" s="1" t="s">
        <v>81</v>
      </c>
      <c r="G144" s="9">
        <v>662406.27</v>
      </c>
      <c r="H144" s="1">
        <v>2391196.79</v>
      </c>
      <c r="I144" s="1">
        <v>647</v>
      </c>
      <c r="J144" s="1">
        <v>100</v>
      </c>
      <c r="K144" s="1">
        <v>214853</v>
      </c>
      <c r="L144" s="1" t="s">
        <v>19</v>
      </c>
      <c r="M144" s="1" t="s">
        <v>33</v>
      </c>
      <c r="N144" s="1">
        <v>3</v>
      </c>
    </row>
    <row r="145" spans="1:14" x14ac:dyDescent="0.3">
      <c r="A145" s="1" t="s">
        <v>318</v>
      </c>
      <c r="B145" s="1" t="s">
        <v>319</v>
      </c>
      <c r="C145" s="1">
        <v>23</v>
      </c>
      <c r="D145" s="1" t="s">
        <v>16</v>
      </c>
      <c r="E145" s="1" t="s">
        <v>48</v>
      </c>
      <c r="F145" s="1" t="s">
        <v>81</v>
      </c>
      <c r="G145" s="9">
        <v>905667.68</v>
      </c>
      <c r="H145" s="1">
        <v>2055853.2</v>
      </c>
      <c r="I145" s="1">
        <v>858</v>
      </c>
      <c r="J145" s="1">
        <v>155</v>
      </c>
      <c r="K145" s="1">
        <v>132881</v>
      </c>
      <c r="L145" s="1" t="s">
        <v>26</v>
      </c>
      <c r="M145" s="1" t="s">
        <v>33</v>
      </c>
      <c r="N145" s="1">
        <v>2.2999999999999998</v>
      </c>
    </row>
    <row r="146" spans="1:14" x14ac:dyDescent="0.3">
      <c r="A146" s="1" t="s">
        <v>320</v>
      </c>
      <c r="B146" s="1" t="s">
        <v>321</v>
      </c>
      <c r="C146" s="1">
        <v>56</v>
      </c>
      <c r="D146" s="1" t="s">
        <v>23</v>
      </c>
      <c r="E146" s="1" t="s">
        <v>17</v>
      </c>
      <c r="F146" s="1" t="s">
        <v>81</v>
      </c>
      <c r="G146" s="9">
        <v>642043.53</v>
      </c>
      <c r="H146" s="1">
        <v>1724412.02</v>
      </c>
      <c r="I146" s="1">
        <v>659</v>
      </c>
      <c r="J146" s="1">
        <v>233</v>
      </c>
      <c r="K146" s="1">
        <v>208131</v>
      </c>
      <c r="L146" s="1" t="s">
        <v>19</v>
      </c>
      <c r="M146" s="1" t="s">
        <v>20</v>
      </c>
      <c r="N146" s="1">
        <v>1.2</v>
      </c>
    </row>
    <row r="147" spans="1:14" x14ac:dyDescent="0.3">
      <c r="A147" s="1" t="s">
        <v>322</v>
      </c>
      <c r="B147" s="1" t="s">
        <v>323</v>
      </c>
      <c r="C147" s="1">
        <v>60</v>
      </c>
      <c r="D147" s="1" t="s">
        <v>23</v>
      </c>
      <c r="E147" s="1" t="s">
        <v>76</v>
      </c>
      <c r="F147" s="1" t="s">
        <v>39</v>
      </c>
      <c r="G147" s="9">
        <v>612284.30000000005</v>
      </c>
      <c r="H147" s="1">
        <v>1282715.05</v>
      </c>
      <c r="I147" s="1">
        <v>463</v>
      </c>
      <c r="J147" s="1">
        <v>492</v>
      </c>
      <c r="K147" s="1">
        <v>187120</v>
      </c>
      <c r="L147" s="1" t="s">
        <v>19</v>
      </c>
      <c r="M147" s="1" t="s">
        <v>20</v>
      </c>
      <c r="N147" s="1">
        <v>1.1000000000000001</v>
      </c>
    </row>
    <row r="148" spans="1:14" x14ac:dyDescent="0.3">
      <c r="A148" s="1" t="s">
        <v>324</v>
      </c>
      <c r="B148" s="1" t="s">
        <v>325</v>
      </c>
      <c r="C148" s="1">
        <v>67</v>
      </c>
      <c r="D148" s="1" t="s">
        <v>23</v>
      </c>
      <c r="E148" s="1" t="s">
        <v>48</v>
      </c>
      <c r="F148" s="1" t="s">
        <v>81</v>
      </c>
      <c r="G148" s="9">
        <v>552661.06999999995</v>
      </c>
      <c r="H148" s="1">
        <v>957136</v>
      </c>
      <c r="I148" s="1">
        <v>880</v>
      </c>
      <c r="J148" s="1">
        <v>21</v>
      </c>
      <c r="K148" s="1">
        <v>189125</v>
      </c>
      <c r="L148" s="1" t="s">
        <v>30</v>
      </c>
      <c r="M148" s="1" t="s">
        <v>20</v>
      </c>
      <c r="N148" s="1">
        <v>3.4</v>
      </c>
    </row>
    <row r="149" spans="1:14" x14ac:dyDescent="0.3">
      <c r="A149" s="1" t="s">
        <v>326</v>
      </c>
      <c r="B149" s="1" t="s">
        <v>327</v>
      </c>
      <c r="C149" s="1">
        <v>54</v>
      </c>
      <c r="D149" s="1" t="s">
        <v>23</v>
      </c>
      <c r="E149" s="1" t="s">
        <v>38</v>
      </c>
      <c r="F149" s="1" t="s">
        <v>25</v>
      </c>
      <c r="G149" s="9">
        <v>796542.52</v>
      </c>
      <c r="H149" s="1">
        <v>995085.11</v>
      </c>
      <c r="I149" s="1">
        <v>585</v>
      </c>
      <c r="J149" s="1">
        <v>132</v>
      </c>
      <c r="K149" s="1">
        <v>56095</v>
      </c>
      <c r="L149" s="1" t="s">
        <v>30</v>
      </c>
      <c r="M149" s="1" t="s">
        <v>20</v>
      </c>
      <c r="N149" s="1">
        <v>4.8</v>
      </c>
    </row>
    <row r="150" spans="1:14" x14ac:dyDescent="0.3">
      <c r="A150" s="1" t="s">
        <v>328</v>
      </c>
      <c r="B150" s="1" t="s">
        <v>329</v>
      </c>
      <c r="C150" s="1">
        <v>34</v>
      </c>
      <c r="D150" s="1" t="s">
        <v>23</v>
      </c>
      <c r="E150" s="1" t="s">
        <v>24</v>
      </c>
      <c r="F150" s="1" t="s">
        <v>18</v>
      </c>
      <c r="G150" s="9">
        <v>394133.21</v>
      </c>
      <c r="H150" s="1">
        <v>1115682.78</v>
      </c>
      <c r="I150" s="1">
        <v>592</v>
      </c>
      <c r="J150" s="1">
        <v>360</v>
      </c>
      <c r="K150" s="1">
        <v>223152</v>
      </c>
      <c r="L150" s="1" t="s">
        <v>40</v>
      </c>
      <c r="M150" s="1" t="s">
        <v>20</v>
      </c>
      <c r="N150" s="1">
        <v>4.7</v>
      </c>
    </row>
    <row r="151" spans="1:14" x14ac:dyDescent="0.3">
      <c r="A151" s="1" t="s">
        <v>330</v>
      </c>
      <c r="B151" s="1" t="s">
        <v>331</v>
      </c>
      <c r="C151" s="1">
        <v>46</v>
      </c>
      <c r="D151" s="1" t="s">
        <v>23</v>
      </c>
      <c r="E151" s="1" t="s">
        <v>48</v>
      </c>
      <c r="F151" s="1" t="s">
        <v>18</v>
      </c>
      <c r="G151" s="9">
        <v>1348525.15</v>
      </c>
      <c r="H151" s="1">
        <v>1112777.98</v>
      </c>
      <c r="I151" s="1">
        <v>389</v>
      </c>
      <c r="J151" s="1">
        <v>419</v>
      </c>
      <c r="K151" s="1">
        <v>65260</v>
      </c>
      <c r="L151" s="1" t="s">
        <v>26</v>
      </c>
      <c r="M151" s="1" t="s">
        <v>33</v>
      </c>
      <c r="N151" s="1">
        <v>3.7</v>
      </c>
    </row>
    <row r="152" spans="1:14" x14ac:dyDescent="0.3">
      <c r="A152" s="1" t="s">
        <v>332</v>
      </c>
      <c r="B152" s="1" t="s">
        <v>333</v>
      </c>
      <c r="C152" s="1">
        <v>28</v>
      </c>
      <c r="D152" s="1" t="s">
        <v>16</v>
      </c>
      <c r="E152" s="1" t="s">
        <v>29</v>
      </c>
      <c r="F152" s="1" t="s">
        <v>39</v>
      </c>
      <c r="G152" s="9">
        <v>1065797.8700000001</v>
      </c>
      <c r="H152" s="1">
        <v>1750548.14</v>
      </c>
      <c r="I152" s="1">
        <v>478</v>
      </c>
      <c r="J152" s="1">
        <v>411</v>
      </c>
      <c r="K152" s="1">
        <v>206596</v>
      </c>
      <c r="L152" s="1" t="s">
        <v>40</v>
      </c>
      <c r="M152" s="1" t="s">
        <v>20</v>
      </c>
      <c r="N152" s="1">
        <v>2.4</v>
      </c>
    </row>
    <row r="153" spans="1:14" x14ac:dyDescent="0.3">
      <c r="A153" s="1" t="s">
        <v>334</v>
      </c>
      <c r="B153" s="1" t="s">
        <v>335</v>
      </c>
      <c r="C153" s="1">
        <v>68</v>
      </c>
      <c r="D153" s="1" t="s">
        <v>23</v>
      </c>
      <c r="E153" s="1" t="s">
        <v>29</v>
      </c>
      <c r="F153" s="1" t="s">
        <v>18</v>
      </c>
      <c r="G153" s="9">
        <v>44294.62</v>
      </c>
      <c r="H153" s="1">
        <v>1385053.59</v>
      </c>
      <c r="I153" s="1">
        <v>677</v>
      </c>
      <c r="J153" s="1">
        <v>244</v>
      </c>
      <c r="K153" s="1">
        <v>149504</v>
      </c>
      <c r="L153" s="1" t="s">
        <v>26</v>
      </c>
      <c r="M153" s="1" t="s">
        <v>33</v>
      </c>
      <c r="N153" s="1">
        <v>4.2</v>
      </c>
    </row>
    <row r="154" spans="1:14" x14ac:dyDescent="0.3">
      <c r="A154" s="1" t="s">
        <v>336</v>
      </c>
      <c r="B154" s="1" t="s">
        <v>337</v>
      </c>
      <c r="C154" s="1">
        <v>63</v>
      </c>
      <c r="D154" s="1" t="s">
        <v>16</v>
      </c>
      <c r="E154" s="1" t="s">
        <v>48</v>
      </c>
      <c r="F154" s="1" t="s">
        <v>18</v>
      </c>
      <c r="G154" s="9">
        <v>720604.34</v>
      </c>
      <c r="H154" s="1">
        <v>1026987.8</v>
      </c>
      <c r="I154" s="1">
        <v>719</v>
      </c>
      <c r="J154" s="1">
        <v>426</v>
      </c>
      <c r="K154" s="1">
        <v>208447</v>
      </c>
      <c r="L154" s="1" t="s">
        <v>30</v>
      </c>
      <c r="M154" s="1" t="s">
        <v>33</v>
      </c>
      <c r="N154" s="1">
        <v>3.3</v>
      </c>
    </row>
    <row r="155" spans="1:14" x14ac:dyDescent="0.3">
      <c r="A155" s="1" t="s">
        <v>338</v>
      </c>
      <c r="B155" s="1" t="s">
        <v>339</v>
      </c>
      <c r="C155" s="1">
        <v>61</v>
      </c>
      <c r="D155" s="1" t="s">
        <v>16</v>
      </c>
      <c r="E155" s="1" t="s">
        <v>17</v>
      </c>
      <c r="F155" s="1" t="s">
        <v>18</v>
      </c>
      <c r="G155" s="9">
        <v>520049.6</v>
      </c>
      <c r="H155" s="1">
        <v>2194900.38</v>
      </c>
      <c r="I155" s="1">
        <v>864</v>
      </c>
      <c r="J155" s="1">
        <v>332</v>
      </c>
      <c r="K155" s="1">
        <v>155622</v>
      </c>
      <c r="L155" s="1" t="s">
        <v>19</v>
      </c>
      <c r="M155" s="1" t="s">
        <v>20</v>
      </c>
      <c r="N155" s="1">
        <v>3.4</v>
      </c>
    </row>
    <row r="156" spans="1:14" x14ac:dyDescent="0.3">
      <c r="A156" s="1" t="s">
        <v>340</v>
      </c>
      <c r="B156" s="1" t="s">
        <v>341</v>
      </c>
      <c r="C156" s="1">
        <v>37</v>
      </c>
      <c r="D156" s="1" t="s">
        <v>23</v>
      </c>
      <c r="E156" s="1" t="s">
        <v>29</v>
      </c>
      <c r="F156" s="1" t="s">
        <v>81</v>
      </c>
      <c r="G156" s="9">
        <v>247140.6</v>
      </c>
      <c r="H156" s="1">
        <v>2336844.59</v>
      </c>
      <c r="I156" s="1">
        <v>530</v>
      </c>
      <c r="J156" s="1">
        <v>182</v>
      </c>
      <c r="K156" s="1">
        <v>63163</v>
      </c>
      <c r="L156" s="1" t="s">
        <v>40</v>
      </c>
      <c r="M156" s="1" t="s">
        <v>33</v>
      </c>
      <c r="N156" s="1">
        <v>4.8</v>
      </c>
    </row>
    <row r="157" spans="1:14" x14ac:dyDescent="0.3">
      <c r="A157" s="1" t="s">
        <v>342</v>
      </c>
      <c r="B157" s="1" t="s">
        <v>343</v>
      </c>
      <c r="C157" s="1">
        <v>26</v>
      </c>
      <c r="D157" s="1" t="s">
        <v>16</v>
      </c>
      <c r="E157" s="1" t="s">
        <v>38</v>
      </c>
      <c r="F157" s="1" t="s">
        <v>81</v>
      </c>
      <c r="G157" s="9">
        <v>457722.79</v>
      </c>
      <c r="H157" s="1">
        <v>1333695.07</v>
      </c>
      <c r="I157" s="1">
        <v>814</v>
      </c>
      <c r="J157" s="1">
        <v>333</v>
      </c>
      <c r="K157" s="1">
        <v>183845</v>
      </c>
      <c r="L157" s="1" t="s">
        <v>19</v>
      </c>
      <c r="M157" s="1" t="s">
        <v>20</v>
      </c>
      <c r="N157" s="1">
        <v>1.7</v>
      </c>
    </row>
    <row r="158" spans="1:14" x14ac:dyDescent="0.3">
      <c r="A158" s="1" t="s">
        <v>344</v>
      </c>
      <c r="B158" s="1" t="s">
        <v>345</v>
      </c>
      <c r="C158" s="1">
        <v>23</v>
      </c>
      <c r="D158" s="1" t="s">
        <v>23</v>
      </c>
      <c r="E158" s="1" t="s">
        <v>76</v>
      </c>
      <c r="F158" s="1" t="s">
        <v>25</v>
      </c>
      <c r="G158" s="9">
        <v>1423077.55</v>
      </c>
      <c r="H158" s="1">
        <v>1927555.92</v>
      </c>
      <c r="I158" s="1">
        <v>571</v>
      </c>
      <c r="J158" s="1">
        <v>338</v>
      </c>
      <c r="K158" s="1">
        <v>31917</v>
      </c>
      <c r="L158" s="1" t="s">
        <v>26</v>
      </c>
      <c r="M158" s="1" t="s">
        <v>33</v>
      </c>
      <c r="N158" s="1">
        <v>1.8</v>
      </c>
    </row>
    <row r="159" spans="1:14" x14ac:dyDescent="0.3">
      <c r="A159" s="1" t="s">
        <v>346</v>
      </c>
      <c r="B159" s="1" t="s">
        <v>347</v>
      </c>
      <c r="C159" s="1">
        <v>48</v>
      </c>
      <c r="D159" s="1" t="s">
        <v>16</v>
      </c>
      <c r="E159" s="1" t="s">
        <v>38</v>
      </c>
      <c r="F159" s="1" t="s">
        <v>25</v>
      </c>
      <c r="G159" s="9">
        <v>1208008.79</v>
      </c>
      <c r="H159" s="1">
        <v>1712477.1</v>
      </c>
      <c r="I159" s="1">
        <v>604</v>
      </c>
      <c r="J159" s="1">
        <v>237</v>
      </c>
      <c r="K159" s="1">
        <v>84193</v>
      </c>
      <c r="L159" s="1" t="s">
        <v>30</v>
      </c>
      <c r="M159" s="1" t="s">
        <v>33</v>
      </c>
      <c r="N159" s="1">
        <v>1.3</v>
      </c>
    </row>
    <row r="160" spans="1:14" x14ac:dyDescent="0.3">
      <c r="A160" s="1" t="s">
        <v>348</v>
      </c>
      <c r="B160" s="1" t="s">
        <v>349</v>
      </c>
      <c r="C160" s="1">
        <v>47</v>
      </c>
      <c r="D160" s="1" t="s">
        <v>23</v>
      </c>
      <c r="E160" s="1" t="s">
        <v>17</v>
      </c>
      <c r="F160" s="1" t="s">
        <v>39</v>
      </c>
      <c r="G160" s="9">
        <v>513587.89</v>
      </c>
      <c r="H160" s="1">
        <v>359171.73</v>
      </c>
      <c r="I160" s="1">
        <v>626</v>
      </c>
      <c r="J160" s="1">
        <v>380</v>
      </c>
      <c r="K160" s="1">
        <v>73483</v>
      </c>
      <c r="L160" s="1" t="s">
        <v>26</v>
      </c>
      <c r="M160" s="1" t="s">
        <v>20</v>
      </c>
      <c r="N160" s="1">
        <v>5</v>
      </c>
    </row>
    <row r="161" spans="1:14" x14ac:dyDescent="0.3">
      <c r="A161" s="1" t="s">
        <v>350</v>
      </c>
      <c r="B161" s="1" t="s">
        <v>351</v>
      </c>
      <c r="C161" s="1">
        <v>38</v>
      </c>
      <c r="D161" s="1" t="s">
        <v>23</v>
      </c>
      <c r="E161" s="1" t="s">
        <v>17</v>
      </c>
      <c r="F161" s="1" t="s">
        <v>25</v>
      </c>
      <c r="G161" s="9">
        <v>702376.49</v>
      </c>
      <c r="H161" s="1">
        <v>668679.18999999994</v>
      </c>
      <c r="I161" s="1">
        <v>553</v>
      </c>
      <c r="J161" s="1">
        <v>77</v>
      </c>
      <c r="K161" s="1">
        <v>83370</v>
      </c>
      <c r="L161" s="1" t="s">
        <v>40</v>
      </c>
      <c r="M161" s="1" t="s">
        <v>20</v>
      </c>
      <c r="N161" s="1">
        <v>1.4</v>
      </c>
    </row>
    <row r="162" spans="1:14" x14ac:dyDescent="0.3">
      <c r="A162" s="1" t="s">
        <v>352</v>
      </c>
      <c r="B162" s="1" t="s">
        <v>353</v>
      </c>
      <c r="C162" s="1">
        <v>70</v>
      </c>
      <c r="D162" s="1" t="s">
        <v>23</v>
      </c>
      <c r="E162" s="1" t="s">
        <v>45</v>
      </c>
      <c r="F162" s="1" t="s">
        <v>81</v>
      </c>
      <c r="G162" s="9">
        <v>1400958.55</v>
      </c>
      <c r="H162" s="1">
        <v>1802821.07</v>
      </c>
      <c r="I162" s="1">
        <v>494</v>
      </c>
      <c r="J162" s="1">
        <v>395</v>
      </c>
      <c r="K162" s="1">
        <v>105835</v>
      </c>
      <c r="L162" s="1" t="s">
        <v>30</v>
      </c>
      <c r="M162" s="1" t="s">
        <v>20</v>
      </c>
      <c r="N162" s="1">
        <v>1.6</v>
      </c>
    </row>
    <row r="163" spans="1:14" x14ac:dyDescent="0.3">
      <c r="A163" s="1" t="s">
        <v>354</v>
      </c>
      <c r="B163" s="1" t="s">
        <v>355</v>
      </c>
      <c r="C163" s="1">
        <v>23</v>
      </c>
      <c r="D163" s="1" t="s">
        <v>16</v>
      </c>
      <c r="E163" s="1" t="s">
        <v>55</v>
      </c>
      <c r="F163" s="1" t="s">
        <v>25</v>
      </c>
      <c r="G163" s="9">
        <v>760639.47</v>
      </c>
      <c r="H163" s="1">
        <v>2416716.58</v>
      </c>
      <c r="I163" s="1">
        <v>520</v>
      </c>
      <c r="J163" s="1">
        <v>303</v>
      </c>
      <c r="K163" s="1">
        <v>123086</v>
      </c>
      <c r="L163" s="1" t="s">
        <v>30</v>
      </c>
      <c r="M163" s="1" t="s">
        <v>33</v>
      </c>
      <c r="N163" s="1">
        <v>2.4</v>
      </c>
    </row>
    <row r="164" spans="1:14" x14ac:dyDescent="0.3">
      <c r="A164" s="1" t="s">
        <v>356</v>
      </c>
      <c r="B164" s="1" t="s">
        <v>357</v>
      </c>
      <c r="C164" s="1">
        <v>52</v>
      </c>
      <c r="D164" s="1" t="s">
        <v>23</v>
      </c>
      <c r="E164" s="1" t="s">
        <v>48</v>
      </c>
      <c r="F164" s="1" t="s">
        <v>18</v>
      </c>
      <c r="G164" s="9">
        <v>1271522.69</v>
      </c>
      <c r="H164" s="1">
        <v>1077319.42</v>
      </c>
      <c r="I164" s="1">
        <v>570</v>
      </c>
      <c r="J164" s="1">
        <v>377</v>
      </c>
      <c r="K164" s="1">
        <v>22143</v>
      </c>
      <c r="L164" s="1" t="s">
        <v>30</v>
      </c>
      <c r="M164" s="1" t="s">
        <v>20</v>
      </c>
      <c r="N164" s="1">
        <v>2.5</v>
      </c>
    </row>
    <row r="165" spans="1:14" x14ac:dyDescent="0.3">
      <c r="A165" s="1" t="s">
        <v>358</v>
      </c>
      <c r="B165" s="1" t="s">
        <v>359</v>
      </c>
      <c r="C165" s="1">
        <v>54</v>
      </c>
      <c r="D165" s="1" t="s">
        <v>23</v>
      </c>
      <c r="E165" s="1" t="s">
        <v>29</v>
      </c>
      <c r="F165" s="1" t="s">
        <v>39</v>
      </c>
      <c r="G165" s="9">
        <v>296009.68</v>
      </c>
      <c r="H165" s="1">
        <v>1383057.32</v>
      </c>
      <c r="I165" s="1">
        <v>375</v>
      </c>
      <c r="J165" s="1">
        <v>202</v>
      </c>
      <c r="K165" s="1">
        <v>167276</v>
      </c>
      <c r="L165" s="1" t="s">
        <v>19</v>
      </c>
      <c r="M165" s="1" t="s">
        <v>33</v>
      </c>
      <c r="N165" s="1">
        <v>3</v>
      </c>
    </row>
    <row r="166" spans="1:14" x14ac:dyDescent="0.3">
      <c r="A166" s="1" t="s">
        <v>360</v>
      </c>
      <c r="B166" s="1" t="s">
        <v>361</v>
      </c>
      <c r="C166" s="1">
        <v>41</v>
      </c>
      <c r="D166" s="1" t="s">
        <v>23</v>
      </c>
      <c r="E166" s="1" t="s">
        <v>76</v>
      </c>
      <c r="F166" s="1" t="s">
        <v>18</v>
      </c>
      <c r="G166" s="9">
        <v>1480247.56</v>
      </c>
      <c r="H166" s="1">
        <v>1394579.6</v>
      </c>
      <c r="I166" s="1">
        <v>674</v>
      </c>
      <c r="J166" s="1">
        <v>391</v>
      </c>
      <c r="K166" s="1">
        <v>228377</v>
      </c>
      <c r="L166" s="1" t="s">
        <v>19</v>
      </c>
      <c r="M166" s="1" t="s">
        <v>20</v>
      </c>
      <c r="N166" s="1">
        <v>1.6</v>
      </c>
    </row>
    <row r="167" spans="1:14" x14ac:dyDescent="0.3">
      <c r="A167" s="1" t="s">
        <v>362</v>
      </c>
      <c r="B167" s="1" t="s">
        <v>363</v>
      </c>
      <c r="C167" s="1">
        <v>63</v>
      </c>
      <c r="D167" s="1" t="s">
        <v>16</v>
      </c>
      <c r="E167" s="1" t="s">
        <v>48</v>
      </c>
      <c r="F167" s="1" t="s">
        <v>81</v>
      </c>
      <c r="G167" s="9">
        <v>1206928.95</v>
      </c>
      <c r="H167" s="1">
        <v>1298331.78</v>
      </c>
      <c r="I167" s="1">
        <v>452</v>
      </c>
      <c r="J167" s="1">
        <v>315</v>
      </c>
      <c r="K167" s="1">
        <v>107304</v>
      </c>
      <c r="L167" s="1" t="s">
        <v>40</v>
      </c>
      <c r="M167" s="1" t="s">
        <v>33</v>
      </c>
      <c r="N167" s="1">
        <v>4.5999999999999996</v>
      </c>
    </row>
    <row r="168" spans="1:14" x14ac:dyDescent="0.3">
      <c r="A168" s="1" t="s">
        <v>364</v>
      </c>
      <c r="B168" s="1" t="s">
        <v>365</v>
      </c>
      <c r="C168" s="1">
        <v>57</v>
      </c>
      <c r="D168" s="1" t="s">
        <v>23</v>
      </c>
      <c r="E168" s="1" t="s">
        <v>55</v>
      </c>
      <c r="F168" s="1" t="s">
        <v>25</v>
      </c>
      <c r="G168" s="9">
        <v>1264689.8799999999</v>
      </c>
      <c r="H168" s="1">
        <v>1484311.64</v>
      </c>
      <c r="I168" s="1">
        <v>819</v>
      </c>
      <c r="J168" s="1">
        <v>429</v>
      </c>
      <c r="K168" s="1">
        <v>213808</v>
      </c>
      <c r="L168" s="1" t="s">
        <v>19</v>
      </c>
      <c r="M168" s="1" t="s">
        <v>33</v>
      </c>
      <c r="N168" s="1">
        <v>3</v>
      </c>
    </row>
    <row r="169" spans="1:14" x14ac:dyDescent="0.3">
      <c r="A169" s="1" t="s">
        <v>366</v>
      </c>
      <c r="B169" s="1" t="s">
        <v>367</v>
      </c>
      <c r="C169" s="1">
        <v>39</v>
      </c>
      <c r="D169" s="1" t="s">
        <v>16</v>
      </c>
      <c r="E169" s="1" t="s">
        <v>45</v>
      </c>
      <c r="F169" s="1" t="s">
        <v>81</v>
      </c>
      <c r="G169" s="9">
        <v>168858.86</v>
      </c>
      <c r="H169" s="1">
        <v>1041350.67</v>
      </c>
      <c r="I169" s="1">
        <v>615</v>
      </c>
      <c r="J169" s="1">
        <v>412</v>
      </c>
      <c r="K169" s="1">
        <v>196634</v>
      </c>
      <c r="L169" s="1" t="s">
        <v>40</v>
      </c>
      <c r="M169" s="1" t="s">
        <v>20</v>
      </c>
      <c r="N169" s="1">
        <v>4.5999999999999996</v>
      </c>
    </row>
    <row r="170" spans="1:14" x14ac:dyDescent="0.3">
      <c r="A170" s="1" t="s">
        <v>368</v>
      </c>
      <c r="B170" s="1" t="s">
        <v>369</v>
      </c>
      <c r="C170" s="1">
        <v>55</v>
      </c>
      <c r="D170" s="1" t="s">
        <v>16</v>
      </c>
      <c r="E170" s="1" t="s">
        <v>76</v>
      </c>
      <c r="F170" s="1" t="s">
        <v>18</v>
      </c>
      <c r="G170" s="9">
        <v>259915.53</v>
      </c>
      <c r="H170" s="1">
        <v>1572563.1</v>
      </c>
      <c r="I170" s="1">
        <v>689</v>
      </c>
      <c r="J170" s="1">
        <v>80</v>
      </c>
      <c r="K170" s="1">
        <v>145946</v>
      </c>
      <c r="L170" s="1" t="s">
        <v>40</v>
      </c>
      <c r="M170" s="1" t="s">
        <v>20</v>
      </c>
      <c r="N170" s="1">
        <v>4.3</v>
      </c>
    </row>
    <row r="171" spans="1:14" x14ac:dyDescent="0.3">
      <c r="A171" s="1" t="s">
        <v>370</v>
      </c>
      <c r="B171" s="1" t="s">
        <v>371</v>
      </c>
      <c r="C171" s="1">
        <v>46</v>
      </c>
      <c r="D171" s="1" t="s">
        <v>23</v>
      </c>
      <c r="E171" s="1" t="s">
        <v>76</v>
      </c>
      <c r="F171" s="1" t="s">
        <v>39</v>
      </c>
      <c r="G171" s="9">
        <v>631076.55000000005</v>
      </c>
      <c r="H171" s="1">
        <v>1032400.27</v>
      </c>
      <c r="I171" s="1">
        <v>508</v>
      </c>
      <c r="J171" s="1">
        <v>215</v>
      </c>
      <c r="K171" s="1">
        <v>102232</v>
      </c>
      <c r="L171" s="1" t="s">
        <v>40</v>
      </c>
      <c r="M171" s="1" t="s">
        <v>33</v>
      </c>
      <c r="N171" s="1">
        <v>3</v>
      </c>
    </row>
    <row r="172" spans="1:14" x14ac:dyDescent="0.3">
      <c r="A172" s="1" t="s">
        <v>372</v>
      </c>
      <c r="B172" s="1" t="s">
        <v>373</v>
      </c>
      <c r="C172" s="1">
        <v>60</v>
      </c>
      <c r="D172" s="1" t="s">
        <v>23</v>
      </c>
      <c r="E172" s="1" t="s">
        <v>48</v>
      </c>
      <c r="F172" s="1" t="s">
        <v>81</v>
      </c>
      <c r="G172" s="9">
        <v>790588.34</v>
      </c>
      <c r="H172" s="1">
        <v>784381.5</v>
      </c>
      <c r="I172" s="1">
        <v>477</v>
      </c>
      <c r="J172" s="1">
        <v>240</v>
      </c>
      <c r="K172" s="1">
        <v>145402</v>
      </c>
      <c r="L172" s="1" t="s">
        <v>30</v>
      </c>
      <c r="M172" s="1" t="s">
        <v>20</v>
      </c>
      <c r="N172" s="1">
        <v>4.5999999999999996</v>
      </c>
    </row>
    <row r="173" spans="1:14" x14ac:dyDescent="0.3">
      <c r="A173" s="1" t="s">
        <v>374</v>
      </c>
      <c r="B173" s="1" t="s">
        <v>375</v>
      </c>
      <c r="C173" s="1">
        <v>33</v>
      </c>
      <c r="D173" s="1" t="s">
        <v>16</v>
      </c>
      <c r="E173" s="1" t="s">
        <v>45</v>
      </c>
      <c r="F173" s="1" t="s">
        <v>81</v>
      </c>
      <c r="G173" s="9">
        <v>839339.54</v>
      </c>
      <c r="H173" s="1">
        <v>562167.59</v>
      </c>
      <c r="I173" s="1">
        <v>604</v>
      </c>
      <c r="J173" s="1">
        <v>399</v>
      </c>
      <c r="K173" s="1">
        <v>93139</v>
      </c>
      <c r="L173" s="1" t="s">
        <v>30</v>
      </c>
      <c r="M173" s="1" t="s">
        <v>33</v>
      </c>
      <c r="N173" s="1">
        <v>2.2000000000000002</v>
      </c>
    </row>
    <row r="174" spans="1:14" x14ac:dyDescent="0.3">
      <c r="A174" s="1" t="s">
        <v>376</v>
      </c>
      <c r="B174" s="1" t="s">
        <v>377</v>
      </c>
      <c r="C174" s="1">
        <v>53</v>
      </c>
      <c r="D174" s="1" t="s">
        <v>23</v>
      </c>
      <c r="E174" s="1" t="s">
        <v>48</v>
      </c>
      <c r="F174" s="1" t="s">
        <v>39</v>
      </c>
      <c r="G174" s="9">
        <v>1083888.25</v>
      </c>
      <c r="H174" s="1">
        <v>719473.44</v>
      </c>
      <c r="I174" s="1">
        <v>887</v>
      </c>
      <c r="J174" s="1">
        <v>351</v>
      </c>
      <c r="K174" s="1">
        <v>228510</v>
      </c>
      <c r="L174" s="1" t="s">
        <v>26</v>
      </c>
      <c r="M174" s="1" t="s">
        <v>20</v>
      </c>
      <c r="N174" s="1">
        <v>3.2</v>
      </c>
    </row>
    <row r="175" spans="1:14" x14ac:dyDescent="0.3">
      <c r="A175" s="1" t="s">
        <v>378</v>
      </c>
      <c r="B175" s="1" t="s">
        <v>379</v>
      </c>
      <c r="C175" s="1">
        <v>36</v>
      </c>
      <c r="D175" s="1" t="s">
        <v>16</v>
      </c>
      <c r="E175" s="1" t="s">
        <v>55</v>
      </c>
      <c r="F175" s="1" t="s">
        <v>81</v>
      </c>
      <c r="G175" s="9">
        <v>123149.01</v>
      </c>
      <c r="H175" s="1">
        <v>2310024.08</v>
      </c>
      <c r="I175" s="1">
        <v>562</v>
      </c>
      <c r="J175" s="1">
        <v>387</v>
      </c>
      <c r="K175" s="1">
        <v>207207</v>
      </c>
      <c r="L175" s="1" t="s">
        <v>40</v>
      </c>
      <c r="M175" s="1" t="s">
        <v>20</v>
      </c>
      <c r="N175" s="1">
        <v>2.9</v>
      </c>
    </row>
    <row r="176" spans="1:14" x14ac:dyDescent="0.3">
      <c r="A176" s="1" t="s">
        <v>380</v>
      </c>
      <c r="B176" s="1" t="s">
        <v>381</v>
      </c>
      <c r="C176" s="1">
        <v>57</v>
      </c>
      <c r="D176" s="1" t="s">
        <v>16</v>
      </c>
      <c r="E176" s="1" t="s">
        <v>29</v>
      </c>
      <c r="F176" s="1" t="s">
        <v>25</v>
      </c>
      <c r="G176" s="9">
        <v>882311.6</v>
      </c>
      <c r="H176" s="1">
        <v>606145.1</v>
      </c>
      <c r="I176" s="1">
        <v>843</v>
      </c>
      <c r="J176" s="1">
        <v>120</v>
      </c>
      <c r="K176" s="1">
        <v>214220</v>
      </c>
      <c r="L176" s="1" t="s">
        <v>26</v>
      </c>
      <c r="M176" s="1" t="s">
        <v>33</v>
      </c>
      <c r="N176" s="1">
        <v>3.6</v>
      </c>
    </row>
    <row r="177" spans="1:14" x14ac:dyDescent="0.3">
      <c r="A177" s="1" t="s">
        <v>382</v>
      </c>
      <c r="B177" s="1" t="s">
        <v>383</v>
      </c>
      <c r="C177" s="1">
        <v>24</v>
      </c>
      <c r="D177" s="1" t="s">
        <v>23</v>
      </c>
      <c r="E177" s="1" t="s">
        <v>45</v>
      </c>
      <c r="F177" s="1" t="s">
        <v>39</v>
      </c>
      <c r="G177" s="9">
        <v>1157295.26</v>
      </c>
      <c r="H177" s="1">
        <v>12953.62</v>
      </c>
      <c r="I177" s="1">
        <v>863</v>
      </c>
      <c r="J177" s="1">
        <v>480</v>
      </c>
      <c r="K177" s="1">
        <v>198570</v>
      </c>
      <c r="L177" s="1" t="s">
        <v>26</v>
      </c>
      <c r="M177" s="1" t="s">
        <v>33</v>
      </c>
      <c r="N177" s="1">
        <v>1.6</v>
      </c>
    </row>
    <row r="178" spans="1:14" x14ac:dyDescent="0.3">
      <c r="A178" s="1" t="s">
        <v>384</v>
      </c>
      <c r="B178" s="1" t="s">
        <v>385</v>
      </c>
      <c r="C178" s="1">
        <v>36</v>
      </c>
      <c r="D178" s="1" t="s">
        <v>16</v>
      </c>
      <c r="E178" s="1" t="s">
        <v>38</v>
      </c>
      <c r="F178" s="1" t="s">
        <v>25</v>
      </c>
      <c r="G178" s="9">
        <v>93448.07</v>
      </c>
      <c r="H178" s="1">
        <v>1921812.48</v>
      </c>
      <c r="I178" s="1">
        <v>887</v>
      </c>
      <c r="J178" s="1">
        <v>123</v>
      </c>
      <c r="K178" s="1">
        <v>189318</v>
      </c>
      <c r="L178" s="1" t="s">
        <v>40</v>
      </c>
      <c r="M178" s="1" t="s">
        <v>20</v>
      </c>
      <c r="N178" s="1">
        <v>3.1</v>
      </c>
    </row>
    <row r="179" spans="1:14" x14ac:dyDescent="0.3">
      <c r="A179" s="1" t="s">
        <v>386</v>
      </c>
      <c r="B179" s="1" t="s">
        <v>387</v>
      </c>
      <c r="C179" s="1">
        <v>43</v>
      </c>
      <c r="D179" s="1" t="s">
        <v>23</v>
      </c>
      <c r="E179" s="1" t="s">
        <v>29</v>
      </c>
      <c r="F179" s="1" t="s">
        <v>81</v>
      </c>
      <c r="G179" s="9">
        <v>745598.93</v>
      </c>
      <c r="H179" s="1">
        <v>2341521.86</v>
      </c>
      <c r="I179" s="1">
        <v>596</v>
      </c>
      <c r="J179" s="1">
        <v>453</v>
      </c>
      <c r="K179" s="1">
        <v>226559</v>
      </c>
      <c r="L179" s="1" t="s">
        <v>26</v>
      </c>
      <c r="M179" s="1" t="s">
        <v>33</v>
      </c>
      <c r="N179" s="1">
        <v>1.1000000000000001</v>
      </c>
    </row>
    <row r="180" spans="1:14" x14ac:dyDescent="0.3">
      <c r="A180" s="1" t="s">
        <v>388</v>
      </c>
      <c r="B180" s="1" t="s">
        <v>389</v>
      </c>
      <c r="C180" s="1">
        <v>59</v>
      </c>
      <c r="D180" s="1" t="s">
        <v>23</v>
      </c>
      <c r="E180" s="1" t="s">
        <v>24</v>
      </c>
      <c r="F180" s="1" t="s">
        <v>18</v>
      </c>
      <c r="G180" s="9">
        <v>788856.21</v>
      </c>
      <c r="H180" s="1">
        <v>2223149.91</v>
      </c>
      <c r="I180" s="1">
        <v>437</v>
      </c>
      <c r="J180" s="1">
        <v>440</v>
      </c>
      <c r="K180" s="1">
        <v>162422</v>
      </c>
      <c r="L180" s="1" t="s">
        <v>26</v>
      </c>
      <c r="M180" s="1" t="s">
        <v>20</v>
      </c>
      <c r="N180" s="1">
        <v>3</v>
      </c>
    </row>
    <row r="181" spans="1:14" x14ac:dyDescent="0.3">
      <c r="A181" s="1" t="s">
        <v>390</v>
      </c>
      <c r="B181" s="1" t="s">
        <v>391</v>
      </c>
      <c r="C181" s="1">
        <v>64</v>
      </c>
      <c r="D181" s="1" t="s">
        <v>23</v>
      </c>
      <c r="E181" s="1" t="s">
        <v>24</v>
      </c>
      <c r="F181" s="1" t="s">
        <v>39</v>
      </c>
      <c r="G181" s="9">
        <v>974186.58</v>
      </c>
      <c r="H181" s="1">
        <v>1796495.43</v>
      </c>
      <c r="I181" s="1">
        <v>314</v>
      </c>
      <c r="J181" s="1">
        <v>382</v>
      </c>
      <c r="K181" s="1">
        <v>140301</v>
      </c>
      <c r="L181" s="1" t="s">
        <v>30</v>
      </c>
      <c r="M181" s="1" t="s">
        <v>33</v>
      </c>
      <c r="N181" s="1">
        <v>2.2999999999999998</v>
      </c>
    </row>
    <row r="182" spans="1:14" x14ac:dyDescent="0.3">
      <c r="A182" s="1" t="s">
        <v>392</v>
      </c>
      <c r="B182" s="1" t="s">
        <v>393</v>
      </c>
      <c r="C182" s="1">
        <v>50</v>
      </c>
      <c r="D182" s="1" t="s">
        <v>16</v>
      </c>
      <c r="E182" s="1" t="s">
        <v>76</v>
      </c>
      <c r="F182" s="1" t="s">
        <v>81</v>
      </c>
      <c r="G182" s="9">
        <v>134672.97</v>
      </c>
      <c r="H182" s="1">
        <v>1673139.63</v>
      </c>
      <c r="I182" s="1">
        <v>489</v>
      </c>
      <c r="J182" s="1">
        <v>76</v>
      </c>
      <c r="K182" s="1">
        <v>105964</v>
      </c>
      <c r="L182" s="1" t="s">
        <v>30</v>
      </c>
      <c r="M182" s="1" t="s">
        <v>20</v>
      </c>
      <c r="N182" s="1">
        <v>2.9</v>
      </c>
    </row>
    <row r="183" spans="1:14" x14ac:dyDescent="0.3">
      <c r="A183" s="1" t="s">
        <v>394</v>
      </c>
      <c r="B183" s="1" t="s">
        <v>395</v>
      </c>
      <c r="C183" s="1">
        <v>46</v>
      </c>
      <c r="D183" s="1" t="s">
        <v>23</v>
      </c>
      <c r="E183" s="1" t="s">
        <v>48</v>
      </c>
      <c r="F183" s="1" t="s">
        <v>39</v>
      </c>
      <c r="G183" s="9">
        <v>404156.52</v>
      </c>
      <c r="H183" s="1">
        <v>824063.26</v>
      </c>
      <c r="I183" s="1">
        <v>896</v>
      </c>
      <c r="J183" s="1">
        <v>375</v>
      </c>
      <c r="K183" s="1">
        <v>217592</v>
      </c>
      <c r="L183" s="1" t="s">
        <v>19</v>
      </c>
      <c r="M183" s="1" t="s">
        <v>20</v>
      </c>
      <c r="N183" s="1">
        <v>3.3</v>
      </c>
    </row>
    <row r="184" spans="1:14" x14ac:dyDescent="0.3">
      <c r="A184" s="1" t="s">
        <v>396</v>
      </c>
      <c r="B184" s="1" t="s">
        <v>397</v>
      </c>
      <c r="C184" s="1">
        <v>47</v>
      </c>
      <c r="D184" s="1" t="s">
        <v>23</v>
      </c>
      <c r="E184" s="1" t="s">
        <v>48</v>
      </c>
      <c r="F184" s="1" t="s">
        <v>39</v>
      </c>
      <c r="G184" s="9">
        <v>243776.65</v>
      </c>
      <c r="H184" s="1">
        <v>1715184.05</v>
      </c>
      <c r="I184" s="1">
        <v>618</v>
      </c>
      <c r="J184" s="1">
        <v>358</v>
      </c>
      <c r="K184" s="1">
        <v>100427</v>
      </c>
      <c r="L184" s="1" t="s">
        <v>40</v>
      </c>
      <c r="M184" s="1" t="s">
        <v>20</v>
      </c>
      <c r="N184" s="1">
        <v>1.5</v>
      </c>
    </row>
    <row r="185" spans="1:14" x14ac:dyDescent="0.3">
      <c r="A185" s="1" t="s">
        <v>398</v>
      </c>
      <c r="B185" s="1" t="s">
        <v>399</v>
      </c>
      <c r="C185" s="1">
        <v>48</v>
      </c>
      <c r="D185" s="1" t="s">
        <v>23</v>
      </c>
      <c r="E185" s="1" t="s">
        <v>24</v>
      </c>
      <c r="F185" s="1" t="s">
        <v>39</v>
      </c>
      <c r="G185" s="9">
        <v>685193.12</v>
      </c>
      <c r="H185" s="1">
        <v>2472094.9</v>
      </c>
      <c r="I185" s="1">
        <v>682</v>
      </c>
      <c r="J185" s="1">
        <v>217</v>
      </c>
      <c r="K185" s="1">
        <v>60156</v>
      </c>
      <c r="L185" s="1" t="s">
        <v>19</v>
      </c>
      <c r="M185" s="1" t="s">
        <v>33</v>
      </c>
      <c r="N185" s="1">
        <v>3.8</v>
      </c>
    </row>
    <row r="186" spans="1:14" x14ac:dyDescent="0.3">
      <c r="A186" s="1" t="s">
        <v>400</v>
      </c>
      <c r="B186" s="1" t="s">
        <v>401</v>
      </c>
      <c r="C186" s="1">
        <v>51</v>
      </c>
      <c r="D186" s="1" t="s">
        <v>16</v>
      </c>
      <c r="E186" s="1" t="s">
        <v>38</v>
      </c>
      <c r="F186" s="1" t="s">
        <v>39</v>
      </c>
      <c r="G186" s="9">
        <v>545868.38</v>
      </c>
      <c r="H186" s="1">
        <v>2293111.77</v>
      </c>
      <c r="I186" s="1">
        <v>414</v>
      </c>
      <c r="J186" s="1">
        <v>36</v>
      </c>
      <c r="K186" s="1">
        <v>204488</v>
      </c>
      <c r="L186" s="1" t="s">
        <v>26</v>
      </c>
      <c r="M186" s="1" t="s">
        <v>33</v>
      </c>
      <c r="N186" s="1">
        <v>4.3</v>
      </c>
    </row>
    <row r="187" spans="1:14" x14ac:dyDescent="0.3">
      <c r="A187" s="1" t="s">
        <v>402</v>
      </c>
      <c r="B187" s="1" t="s">
        <v>403</v>
      </c>
      <c r="C187" s="1">
        <v>25</v>
      </c>
      <c r="D187" s="1" t="s">
        <v>16</v>
      </c>
      <c r="E187" s="1" t="s">
        <v>45</v>
      </c>
      <c r="F187" s="1" t="s">
        <v>39</v>
      </c>
      <c r="G187" s="9">
        <v>312075.21999999997</v>
      </c>
      <c r="H187" s="1">
        <v>1457869.2</v>
      </c>
      <c r="I187" s="1">
        <v>393</v>
      </c>
      <c r="J187" s="1">
        <v>465</v>
      </c>
      <c r="K187" s="1">
        <v>198335</v>
      </c>
      <c r="L187" s="1" t="s">
        <v>30</v>
      </c>
      <c r="M187" s="1" t="s">
        <v>33</v>
      </c>
      <c r="N187" s="1">
        <v>3</v>
      </c>
    </row>
    <row r="188" spans="1:14" x14ac:dyDescent="0.3">
      <c r="A188" s="1" t="s">
        <v>404</v>
      </c>
      <c r="B188" s="1" t="s">
        <v>405</v>
      </c>
      <c r="C188" s="1">
        <v>54</v>
      </c>
      <c r="D188" s="1" t="s">
        <v>23</v>
      </c>
      <c r="E188" s="1" t="s">
        <v>76</v>
      </c>
      <c r="F188" s="1" t="s">
        <v>39</v>
      </c>
      <c r="G188" s="9">
        <v>840401.81</v>
      </c>
      <c r="H188" s="1">
        <v>1681919.28</v>
      </c>
      <c r="I188" s="1">
        <v>615</v>
      </c>
      <c r="J188" s="1">
        <v>375</v>
      </c>
      <c r="K188" s="1">
        <v>35135</v>
      </c>
      <c r="L188" s="1" t="s">
        <v>19</v>
      </c>
      <c r="M188" s="1" t="s">
        <v>20</v>
      </c>
      <c r="N188" s="1">
        <v>1.1000000000000001</v>
      </c>
    </row>
    <row r="189" spans="1:14" x14ac:dyDescent="0.3">
      <c r="A189" s="1" t="s">
        <v>406</v>
      </c>
      <c r="B189" s="1" t="s">
        <v>407</v>
      </c>
      <c r="C189" s="1">
        <v>45</v>
      </c>
      <c r="D189" s="1" t="s">
        <v>23</v>
      </c>
      <c r="E189" s="1" t="s">
        <v>76</v>
      </c>
      <c r="F189" s="1" t="s">
        <v>81</v>
      </c>
      <c r="G189" s="9">
        <v>1052075.3899999999</v>
      </c>
      <c r="H189" s="1">
        <v>1352908.76</v>
      </c>
      <c r="I189" s="1">
        <v>361</v>
      </c>
      <c r="J189" s="1">
        <v>483</v>
      </c>
      <c r="K189" s="1">
        <v>110316</v>
      </c>
      <c r="L189" s="1" t="s">
        <v>30</v>
      </c>
      <c r="M189" s="1" t="s">
        <v>20</v>
      </c>
      <c r="N189" s="1">
        <v>4.5999999999999996</v>
      </c>
    </row>
    <row r="190" spans="1:14" x14ac:dyDescent="0.3">
      <c r="A190" s="1" t="s">
        <v>408</v>
      </c>
      <c r="B190" s="1" t="s">
        <v>409</v>
      </c>
      <c r="C190" s="1">
        <v>67</v>
      </c>
      <c r="D190" s="1" t="s">
        <v>23</v>
      </c>
      <c r="E190" s="1" t="s">
        <v>45</v>
      </c>
      <c r="F190" s="1" t="s">
        <v>25</v>
      </c>
      <c r="G190" s="9">
        <v>1149912.3899999999</v>
      </c>
      <c r="H190" s="1">
        <v>2445833.21</v>
      </c>
      <c r="I190" s="1">
        <v>730</v>
      </c>
      <c r="J190" s="1">
        <v>196</v>
      </c>
      <c r="K190" s="1">
        <v>55501</v>
      </c>
      <c r="L190" s="1" t="s">
        <v>30</v>
      </c>
      <c r="M190" s="1" t="s">
        <v>20</v>
      </c>
      <c r="N190" s="1">
        <v>5</v>
      </c>
    </row>
    <row r="191" spans="1:14" x14ac:dyDescent="0.3">
      <c r="A191" s="1" t="s">
        <v>410</v>
      </c>
      <c r="B191" s="1" t="s">
        <v>411</v>
      </c>
      <c r="C191" s="1">
        <v>61</v>
      </c>
      <c r="D191" s="1" t="s">
        <v>23</v>
      </c>
      <c r="E191" s="1" t="s">
        <v>38</v>
      </c>
      <c r="F191" s="1" t="s">
        <v>39</v>
      </c>
      <c r="G191" s="9">
        <v>1312457.81</v>
      </c>
      <c r="H191" s="1">
        <v>332474.52</v>
      </c>
      <c r="I191" s="1">
        <v>656</v>
      </c>
      <c r="J191" s="1">
        <v>65</v>
      </c>
      <c r="K191" s="1">
        <v>193484</v>
      </c>
      <c r="L191" s="1" t="s">
        <v>19</v>
      </c>
      <c r="M191" s="1" t="s">
        <v>20</v>
      </c>
      <c r="N191" s="1">
        <v>1.7</v>
      </c>
    </row>
    <row r="192" spans="1:14" x14ac:dyDescent="0.3">
      <c r="A192" s="1" t="s">
        <v>412</v>
      </c>
      <c r="B192" s="1" t="s">
        <v>413</v>
      </c>
      <c r="C192" s="1">
        <v>37</v>
      </c>
      <c r="D192" s="1" t="s">
        <v>16</v>
      </c>
      <c r="E192" s="1" t="s">
        <v>45</v>
      </c>
      <c r="F192" s="1" t="s">
        <v>81</v>
      </c>
      <c r="G192" s="9">
        <v>1011882.29</v>
      </c>
      <c r="H192" s="1">
        <v>1361113.35</v>
      </c>
      <c r="I192" s="1">
        <v>844</v>
      </c>
      <c r="J192" s="1">
        <v>199</v>
      </c>
      <c r="K192" s="1">
        <v>141373</v>
      </c>
      <c r="L192" s="1" t="s">
        <v>40</v>
      </c>
      <c r="M192" s="1" t="s">
        <v>33</v>
      </c>
      <c r="N192" s="1">
        <v>4.3</v>
      </c>
    </row>
    <row r="193" spans="1:14" x14ac:dyDescent="0.3">
      <c r="A193" s="1" t="s">
        <v>414</v>
      </c>
      <c r="B193" s="1" t="s">
        <v>415</v>
      </c>
      <c r="C193" s="1">
        <v>30</v>
      </c>
      <c r="D193" s="1" t="s">
        <v>16</v>
      </c>
      <c r="E193" s="1" t="s">
        <v>24</v>
      </c>
      <c r="F193" s="1" t="s">
        <v>39</v>
      </c>
      <c r="G193" s="9">
        <v>1088910.8</v>
      </c>
      <c r="H193" s="1">
        <v>282111.59999999998</v>
      </c>
      <c r="I193" s="1">
        <v>729</v>
      </c>
      <c r="J193" s="1">
        <v>319</v>
      </c>
      <c r="K193" s="1">
        <v>249430</v>
      </c>
      <c r="L193" s="1" t="s">
        <v>19</v>
      </c>
      <c r="M193" s="1" t="s">
        <v>20</v>
      </c>
      <c r="N193" s="1">
        <v>4.0999999999999996</v>
      </c>
    </row>
    <row r="194" spans="1:14" x14ac:dyDescent="0.3">
      <c r="A194" s="1" t="s">
        <v>416</v>
      </c>
      <c r="B194" s="1" t="s">
        <v>417</v>
      </c>
      <c r="C194" s="1">
        <v>56</v>
      </c>
      <c r="D194" s="1" t="s">
        <v>23</v>
      </c>
      <c r="E194" s="1" t="s">
        <v>45</v>
      </c>
      <c r="F194" s="1" t="s">
        <v>39</v>
      </c>
      <c r="G194" s="9">
        <v>672429.39</v>
      </c>
      <c r="H194" s="1">
        <v>1680059.09</v>
      </c>
      <c r="I194" s="1">
        <v>349</v>
      </c>
      <c r="J194" s="1">
        <v>130</v>
      </c>
      <c r="K194" s="1">
        <v>28801</v>
      </c>
      <c r="L194" s="1" t="s">
        <v>40</v>
      </c>
      <c r="M194" s="1" t="s">
        <v>20</v>
      </c>
      <c r="N194" s="1">
        <v>4</v>
      </c>
    </row>
    <row r="195" spans="1:14" x14ac:dyDescent="0.3">
      <c r="A195" s="1" t="s">
        <v>418</v>
      </c>
      <c r="B195" s="1" t="s">
        <v>419</v>
      </c>
      <c r="C195" s="1">
        <v>26</v>
      </c>
      <c r="D195" s="1" t="s">
        <v>23</v>
      </c>
      <c r="E195" s="1" t="s">
        <v>24</v>
      </c>
      <c r="F195" s="1" t="s">
        <v>81</v>
      </c>
      <c r="G195" s="9">
        <v>1490257.74</v>
      </c>
      <c r="H195" s="1">
        <v>585403.79</v>
      </c>
      <c r="I195" s="1">
        <v>889</v>
      </c>
      <c r="J195" s="1">
        <v>168</v>
      </c>
      <c r="K195" s="1">
        <v>152093</v>
      </c>
      <c r="L195" s="1" t="s">
        <v>40</v>
      </c>
      <c r="M195" s="1" t="s">
        <v>20</v>
      </c>
      <c r="N195" s="1">
        <v>3.3</v>
      </c>
    </row>
    <row r="196" spans="1:14" x14ac:dyDescent="0.3">
      <c r="A196" s="1" t="s">
        <v>420</v>
      </c>
      <c r="B196" s="1" t="s">
        <v>421</v>
      </c>
      <c r="C196" s="1">
        <v>44</v>
      </c>
      <c r="D196" s="1" t="s">
        <v>23</v>
      </c>
      <c r="E196" s="1" t="s">
        <v>76</v>
      </c>
      <c r="F196" s="1" t="s">
        <v>81</v>
      </c>
      <c r="G196" s="9">
        <v>416355.11</v>
      </c>
      <c r="H196" s="1">
        <v>1391795.3</v>
      </c>
      <c r="I196" s="1">
        <v>479</v>
      </c>
      <c r="J196" s="1">
        <v>325</v>
      </c>
      <c r="K196" s="1">
        <v>98774</v>
      </c>
      <c r="L196" s="1" t="s">
        <v>30</v>
      </c>
      <c r="M196" s="1" t="s">
        <v>33</v>
      </c>
      <c r="N196" s="1">
        <v>3.7</v>
      </c>
    </row>
    <row r="197" spans="1:14" x14ac:dyDescent="0.3">
      <c r="A197" s="1" t="s">
        <v>422</v>
      </c>
      <c r="B197" s="1" t="s">
        <v>423</v>
      </c>
      <c r="C197" s="1">
        <v>62</v>
      </c>
      <c r="D197" s="1" t="s">
        <v>16</v>
      </c>
      <c r="E197" s="1" t="s">
        <v>24</v>
      </c>
      <c r="F197" s="1" t="s">
        <v>81</v>
      </c>
      <c r="G197" s="9">
        <v>615347.47</v>
      </c>
      <c r="H197" s="1">
        <v>749721.24</v>
      </c>
      <c r="I197" s="1">
        <v>488</v>
      </c>
      <c r="J197" s="1">
        <v>391</v>
      </c>
      <c r="K197" s="1">
        <v>129137</v>
      </c>
      <c r="L197" s="1" t="s">
        <v>40</v>
      </c>
      <c r="M197" s="1" t="s">
        <v>33</v>
      </c>
      <c r="N197" s="1">
        <v>3.2</v>
      </c>
    </row>
    <row r="198" spans="1:14" x14ac:dyDescent="0.3">
      <c r="A198" s="1" t="s">
        <v>424</v>
      </c>
      <c r="B198" s="1" t="s">
        <v>425</v>
      </c>
      <c r="C198" s="1">
        <v>21</v>
      </c>
      <c r="D198" s="1" t="s">
        <v>23</v>
      </c>
      <c r="E198" s="1" t="s">
        <v>24</v>
      </c>
      <c r="F198" s="1" t="s">
        <v>81</v>
      </c>
      <c r="G198" s="9">
        <v>621952.85</v>
      </c>
      <c r="H198" s="1">
        <v>1041269.67</v>
      </c>
      <c r="I198" s="1">
        <v>842</v>
      </c>
      <c r="J198" s="1">
        <v>73</v>
      </c>
      <c r="K198" s="1">
        <v>167426</v>
      </c>
      <c r="L198" s="1" t="s">
        <v>19</v>
      </c>
      <c r="M198" s="1" t="s">
        <v>33</v>
      </c>
      <c r="N198" s="1">
        <v>2.6</v>
      </c>
    </row>
    <row r="199" spans="1:14" x14ac:dyDescent="0.3">
      <c r="A199" s="1" t="s">
        <v>426</v>
      </c>
      <c r="B199" s="1" t="s">
        <v>427</v>
      </c>
      <c r="C199" s="1">
        <v>41</v>
      </c>
      <c r="D199" s="1" t="s">
        <v>16</v>
      </c>
      <c r="E199" s="1" t="s">
        <v>29</v>
      </c>
      <c r="F199" s="1" t="s">
        <v>39</v>
      </c>
      <c r="G199" s="9">
        <v>805775.13</v>
      </c>
      <c r="H199" s="1">
        <v>2073515.71</v>
      </c>
      <c r="I199" s="1">
        <v>352</v>
      </c>
      <c r="J199" s="1">
        <v>142</v>
      </c>
      <c r="K199" s="1">
        <v>44238</v>
      </c>
      <c r="L199" s="1" t="s">
        <v>40</v>
      </c>
      <c r="M199" s="1" t="s">
        <v>33</v>
      </c>
      <c r="N199" s="1">
        <v>2.5</v>
      </c>
    </row>
    <row r="200" spans="1:14" x14ac:dyDescent="0.3">
      <c r="A200" s="1" t="s">
        <v>428</v>
      </c>
      <c r="B200" s="1" t="s">
        <v>429</v>
      </c>
      <c r="C200" s="1">
        <v>31</v>
      </c>
      <c r="D200" s="1" t="s">
        <v>16</v>
      </c>
      <c r="E200" s="1" t="s">
        <v>45</v>
      </c>
      <c r="F200" s="1" t="s">
        <v>39</v>
      </c>
      <c r="G200" s="9">
        <v>1361014.08</v>
      </c>
      <c r="H200" s="1">
        <v>757970.06</v>
      </c>
      <c r="I200" s="1">
        <v>315</v>
      </c>
      <c r="J200" s="1">
        <v>113</v>
      </c>
      <c r="K200" s="1">
        <v>247927</v>
      </c>
      <c r="L200" s="1" t="s">
        <v>40</v>
      </c>
      <c r="M200" s="1" t="s">
        <v>33</v>
      </c>
      <c r="N200" s="1">
        <v>4.7</v>
      </c>
    </row>
    <row r="201" spans="1:14" x14ac:dyDescent="0.3">
      <c r="A201" s="1" t="s">
        <v>430</v>
      </c>
      <c r="B201" s="1" t="s">
        <v>431</v>
      </c>
      <c r="C201" s="1">
        <v>33</v>
      </c>
      <c r="D201" s="1" t="s">
        <v>23</v>
      </c>
      <c r="E201" s="1" t="s">
        <v>55</v>
      </c>
      <c r="F201" s="1" t="s">
        <v>81</v>
      </c>
      <c r="G201" s="9">
        <v>485814.44</v>
      </c>
      <c r="H201" s="1">
        <v>707647.99</v>
      </c>
      <c r="I201" s="1">
        <v>777</v>
      </c>
      <c r="J201" s="1">
        <v>278</v>
      </c>
      <c r="K201" s="1">
        <v>164724</v>
      </c>
      <c r="L201" s="1" t="s">
        <v>30</v>
      </c>
      <c r="M201" s="1" t="s">
        <v>33</v>
      </c>
      <c r="N201" s="1">
        <v>3.6</v>
      </c>
    </row>
    <row r="202" spans="1:14" x14ac:dyDescent="0.3">
      <c r="A202" s="1" t="s">
        <v>432</v>
      </c>
      <c r="B202" s="1" t="s">
        <v>433</v>
      </c>
      <c r="C202" s="1">
        <v>24</v>
      </c>
      <c r="D202" s="1" t="s">
        <v>23</v>
      </c>
      <c r="E202" s="1" t="s">
        <v>17</v>
      </c>
      <c r="F202" s="1" t="s">
        <v>18</v>
      </c>
      <c r="G202" s="9">
        <v>1472071.09</v>
      </c>
      <c r="H202" s="1">
        <v>1173726.06</v>
      </c>
      <c r="I202" s="1">
        <v>627</v>
      </c>
      <c r="J202" s="1">
        <v>473</v>
      </c>
      <c r="K202" s="1">
        <v>230453</v>
      </c>
      <c r="L202" s="1" t="s">
        <v>40</v>
      </c>
      <c r="M202" s="1" t="s">
        <v>20</v>
      </c>
      <c r="N202" s="1">
        <v>1.8</v>
      </c>
    </row>
    <row r="203" spans="1:14" x14ac:dyDescent="0.3">
      <c r="A203" s="1" t="s">
        <v>434</v>
      </c>
      <c r="B203" s="1" t="s">
        <v>435</v>
      </c>
      <c r="C203" s="1">
        <v>19</v>
      </c>
      <c r="D203" s="1" t="s">
        <v>23</v>
      </c>
      <c r="E203" s="1" t="s">
        <v>24</v>
      </c>
      <c r="F203" s="1" t="s">
        <v>25</v>
      </c>
      <c r="G203" s="9">
        <v>832200.79</v>
      </c>
      <c r="H203" s="1">
        <v>1460079.75</v>
      </c>
      <c r="I203" s="1">
        <v>727</v>
      </c>
      <c r="J203" s="1">
        <v>156</v>
      </c>
      <c r="K203" s="1">
        <v>88360</v>
      </c>
      <c r="L203" s="1" t="s">
        <v>40</v>
      </c>
      <c r="M203" s="1" t="s">
        <v>33</v>
      </c>
      <c r="N203" s="1">
        <v>1.6</v>
      </c>
    </row>
    <row r="204" spans="1:14" x14ac:dyDescent="0.3">
      <c r="A204" s="1" t="s">
        <v>436</v>
      </c>
      <c r="B204" s="1" t="s">
        <v>437</v>
      </c>
      <c r="C204" s="1">
        <v>53</v>
      </c>
      <c r="D204" s="1" t="s">
        <v>23</v>
      </c>
      <c r="E204" s="1" t="s">
        <v>45</v>
      </c>
      <c r="F204" s="1" t="s">
        <v>39</v>
      </c>
      <c r="G204" s="9">
        <v>1415479.49</v>
      </c>
      <c r="H204" s="1">
        <v>843910.71</v>
      </c>
      <c r="I204" s="1">
        <v>800</v>
      </c>
      <c r="J204" s="1">
        <v>499</v>
      </c>
      <c r="K204" s="1">
        <v>191601</v>
      </c>
      <c r="L204" s="1" t="s">
        <v>26</v>
      </c>
      <c r="M204" s="1" t="s">
        <v>20</v>
      </c>
      <c r="N204" s="1">
        <v>3.9</v>
      </c>
    </row>
    <row r="205" spans="1:14" x14ac:dyDescent="0.3">
      <c r="A205" s="1" t="s">
        <v>438</v>
      </c>
      <c r="B205" s="1" t="s">
        <v>439</v>
      </c>
      <c r="C205" s="1">
        <v>26</v>
      </c>
      <c r="D205" s="1" t="s">
        <v>16</v>
      </c>
      <c r="E205" s="1" t="s">
        <v>29</v>
      </c>
      <c r="F205" s="1" t="s">
        <v>18</v>
      </c>
      <c r="G205" s="9">
        <v>822086.76</v>
      </c>
      <c r="H205" s="1">
        <v>460119.43</v>
      </c>
      <c r="I205" s="1">
        <v>855</v>
      </c>
      <c r="J205" s="1">
        <v>333</v>
      </c>
      <c r="K205" s="1">
        <v>208825</v>
      </c>
      <c r="L205" s="1" t="s">
        <v>19</v>
      </c>
      <c r="M205" s="1" t="s">
        <v>33</v>
      </c>
      <c r="N205" s="1">
        <v>4.8</v>
      </c>
    </row>
    <row r="206" spans="1:14" x14ac:dyDescent="0.3">
      <c r="A206" s="1" t="s">
        <v>440</v>
      </c>
      <c r="B206" s="1" t="s">
        <v>441</v>
      </c>
      <c r="C206" s="1">
        <v>26</v>
      </c>
      <c r="D206" s="1" t="s">
        <v>23</v>
      </c>
      <c r="E206" s="1" t="s">
        <v>48</v>
      </c>
      <c r="F206" s="1" t="s">
        <v>18</v>
      </c>
      <c r="G206" s="9">
        <v>947898.96</v>
      </c>
      <c r="H206" s="1">
        <v>169919.85</v>
      </c>
      <c r="I206" s="1">
        <v>454</v>
      </c>
      <c r="J206" s="1">
        <v>9</v>
      </c>
      <c r="K206" s="1">
        <v>240868</v>
      </c>
      <c r="L206" s="1" t="s">
        <v>30</v>
      </c>
      <c r="M206" s="1" t="s">
        <v>33</v>
      </c>
      <c r="N206" s="1">
        <v>1.9</v>
      </c>
    </row>
    <row r="207" spans="1:14" x14ac:dyDescent="0.3">
      <c r="A207" s="1" t="s">
        <v>442</v>
      </c>
      <c r="B207" s="1" t="s">
        <v>443</v>
      </c>
      <c r="C207" s="1">
        <v>19</v>
      </c>
      <c r="D207" s="1" t="s">
        <v>23</v>
      </c>
      <c r="E207" s="1" t="s">
        <v>76</v>
      </c>
      <c r="F207" s="1" t="s">
        <v>25</v>
      </c>
      <c r="G207" s="9">
        <v>800657.67</v>
      </c>
      <c r="H207" s="1">
        <v>1028346.27</v>
      </c>
      <c r="I207" s="1">
        <v>317</v>
      </c>
      <c r="J207" s="1">
        <v>276</v>
      </c>
      <c r="K207" s="1">
        <v>21733</v>
      </c>
      <c r="L207" s="1" t="s">
        <v>40</v>
      </c>
      <c r="M207" s="1" t="s">
        <v>20</v>
      </c>
      <c r="N207" s="1">
        <v>3.9</v>
      </c>
    </row>
    <row r="208" spans="1:14" x14ac:dyDescent="0.3">
      <c r="A208" s="1" t="s">
        <v>444</v>
      </c>
      <c r="B208" s="1" t="s">
        <v>445</v>
      </c>
      <c r="C208" s="1">
        <v>24</v>
      </c>
      <c r="D208" s="1" t="s">
        <v>23</v>
      </c>
      <c r="E208" s="1" t="s">
        <v>17</v>
      </c>
      <c r="F208" s="1" t="s">
        <v>18</v>
      </c>
      <c r="G208" s="9">
        <v>227601.74</v>
      </c>
      <c r="H208" s="1">
        <v>479830.14</v>
      </c>
      <c r="I208" s="1">
        <v>839</v>
      </c>
      <c r="J208" s="1">
        <v>134</v>
      </c>
      <c r="K208" s="1">
        <v>157464</v>
      </c>
      <c r="L208" s="1" t="s">
        <v>26</v>
      </c>
      <c r="M208" s="1" t="s">
        <v>33</v>
      </c>
      <c r="N208" s="1">
        <v>4.3</v>
      </c>
    </row>
    <row r="209" spans="1:14" x14ac:dyDescent="0.3">
      <c r="A209" s="1" t="s">
        <v>446</v>
      </c>
      <c r="B209" s="1" t="s">
        <v>447</v>
      </c>
      <c r="C209" s="1">
        <v>47</v>
      </c>
      <c r="D209" s="1" t="s">
        <v>16</v>
      </c>
      <c r="E209" s="1" t="s">
        <v>76</v>
      </c>
      <c r="F209" s="1" t="s">
        <v>18</v>
      </c>
      <c r="G209" s="9">
        <v>368595.8</v>
      </c>
      <c r="H209" s="1">
        <v>1743090.79</v>
      </c>
      <c r="I209" s="1">
        <v>607</v>
      </c>
      <c r="J209" s="1">
        <v>355</v>
      </c>
      <c r="K209" s="1">
        <v>168111</v>
      </c>
      <c r="L209" s="1" t="s">
        <v>30</v>
      </c>
      <c r="M209" s="1" t="s">
        <v>33</v>
      </c>
      <c r="N209" s="1">
        <v>4.3</v>
      </c>
    </row>
    <row r="210" spans="1:14" x14ac:dyDescent="0.3">
      <c r="A210" s="1" t="s">
        <v>448</v>
      </c>
      <c r="B210" s="1" t="s">
        <v>449</v>
      </c>
      <c r="C210" s="1">
        <v>42</v>
      </c>
      <c r="D210" s="1" t="s">
        <v>23</v>
      </c>
      <c r="E210" s="1" t="s">
        <v>48</v>
      </c>
      <c r="F210" s="1" t="s">
        <v>18</v>
      </c>
      <c r="G210" s="9">
        <v>716627.62</v>
      </c>
      <c r="H210" s="1">
        <v>1591870.19</v>
      </c>
      <c r="I210" s="1">
        <v>475</v>
      </c>
      <c r="J210" s="1">
        <v>47</v>
      </c>
      <c r="K210" s="1">
        <v>164887</v>
      </c>
      <c r="L210" s="1" t="s">
        <v>19</v>
      </c>
      <c r="M210" s="1" t="s">
        <v>20</v>
      </c>
      <c r="N210" s="1">
        <v>3</v>
      </c>
    </row>
    <row r="211" spans="1:14" x14ac:dyDescent="0.3">
      <c r="A211" s="1" t="s">
        <v>450</v>
      </c>
      <c r="B211" s="1" t="s">
        <v>451</v>
      </c>
      <c r="C211" s="1">
        <v>31</v>
      </c>
      <c r="D211" s="1" t="s">
        <v>23</v>
      </c>
      <c r="E211" s="1" t="s">
        <v>76</v>
      </c>
      <c r="F211" s="1" t="s">
        <v>39</v>
      </c>
      <c r="G211" s="9">
        <v>1039970.13</v>
      </c>
      <c r="H211" s="1">
        <v>1416960.37</v>
      </c>
      <c r="I211" s="1">
        <v>577</v>
      </c>
      <c r="J211" s="1">
        <v>28</v>
      </c>
      <c r="K211" s="1">
        <v>247571</v>
      </c>
      <c r="L211" s="1" t="s">
        <v>26</v>
      </c>
      <c r="M211" s="1" t="s">
        <v>20</v>
      </c>
      <c r="N211" s="1">
        <v>4.7</v>
      </c>
    </row>
    <row r="212" spans="1:14" x14ac:dyDescent="0.3">
      <c r="A212" s="1" t="s">
        <v>452</v>
      </c>
      <c r="B212" s="1" t="s">
        <v>453</v>
      </c>
      <c r="C212" s="1">
        <v>31</v>
      </c>
      <c r="D212" s="1" t="s">
        <v>16</v>
      </c>
      <c r="E212" s="1" t="s">
        <v>24</v>
      </c>
      <c r="F212" s="1" t="s">
        <v>25</v>
      </c>
      <c r="G212" s="9">
        <v>220566.38</v>
      </c>
      <c r="H212" s="1">
        <v>2051726.85</v>
      </c>
      <c r="I212" s="1">
        <v>707</v>
      </c>
      <c r="J212" s="1">
        <v>480</v>
      </c>
      <c r="K212" s="1">
        <v>173887</v>
      </c>
      <c r="L212" s="1" t="s">
        <v>26</v>
      </c>
      <c r="M212" s="1" t="s">
        <v>33</v>
      </c>
      <c r="N212" s="1">
        <v>1.3</v>
      </c>
    </row>
    <row r="213" spans="1:14" x14ac:dyDescent="0.3">
      <c r="A213" s="1" t="s">
        <v>454</v>
      </c>
      <c r="B213" s="1" t="s">
        <v>455</v>
      </c>
      <c r="C213" s="1">
        <v>66</v>
      </c>
      <c r="D213" s="1" t="s">
        <v>23</v>
      </c>
      <c r="E213" s="1" t="s">
        <v>76</v>
      </c>
      <c r="F213" s="1" t="s">
        <v>18</v>
      </c>
      <c r="G213" s="9">
        <v>214226.14</v>
      </c>
      <c r="H213" s="1">
        <v>2471194.89</v>
      </c>
      <c r="I213" s="1">
        <v>380</v>
      </c>
      <c r="J213" s="1">
        <v>261</v>
      </c>
      <c r="K213" s="1">
        <v>213919</v>
      </c>
      <c r="L213" s="1" t="s">
        <v>30</v>
      </c>
      <c r="M213" s="1" t="s">
        <v>20</v>
      </c>
      <c r="N213" s="1">
        <v>4</v>
      </c>
    </row>
    <row r="214" spans="1:14" x14ac:dyDescent="0.3">
      <c r="A214" s="1" t="s">
        <v>456</v>
      </c>
      <c r="B214" s="1" t="s">
        <v>457</v>
      </c>
      <c r="C214" s="1">
        <v>22</v>
      </c>
      <c r="D214" s="1" t="s">
        <v>23</v>
      </c>
      <c r="E214" s="1" t="s">
        <v>45</v>
      </c>
      <c r="F214" s="1" t="s">
        <v>25</v>
      </c>
      <c r="G214" s="9">
        <v>909727.27</v>
      </c>
      <c r="H214" s="1">
        <v>1534663.08</v>
      </c>
      <c r="I214" s="1">
        <v>706</v>
      </c>
      <c r="J214" s="1">
        <v>401</v>
      </c>
      <c r="K214" s="1">
        <v>109284</v>
      </c>
      <c r="L214" s="1" t="s">
        <v>40</v>
      </c>
      <c r="M214" s="1" t="s">
        <v>33</v>
      </c>
      <c r="N214" s="1">
        <v>2.2999999999999998</v>
      </c>
    </row>
    <row r="215" spans="1:14" x14ac:dyDescent="0.3">
      <c r="A215" s="1" t="s">
        <v>458</v>
      </c>
      <c r="B215" s="1" t="s">
        <v>459</v>
      </c>
      <c r="C215" s="1">
        <v>53</v>
      </c>
      <c r="D215" s="1" t="s">
        <v>23</v>
      </c>
      <c r="E215" s="1" t="s">
        <v>24</v>
      </c>
      <c r="F215" s="1" t="s">
        <v>18</v>
      </c>
      <c r="G215" s="9">
        <v>650612.68000000005</v>
      </c>
      <c r="H215" s="1">
        <v>1699237.15</v>
      </c>
      <c r="I215" s="1">
        <v>689</v>
      </c>
      <c r="J215" s="1">
        <v>48</v>
      </c>
      <c r="K215" s="1">
        <v>118415</v>
      </c>
      <c r="L215" s="1" t="s">
        <v>19</v>
      </c>
      <c r="M215" s="1" t="s">
        <v>33</v>
      </c>
      <c r="N215" s="1">
        <v>4.0999999999999996</v>
      </c>
    </row>
    <row r="216" spans="1:14" x14ac:dyDescent="0.3">
      <c r="A216" s="1" t="s">
        <v>460</v>
      </c>
      <c r="B216" s="1" t="s">
        <v>461</v>
      </c>
      <c r="C216" s="1">
        <v>27</v>
      </c>
      <c r="D216" s="1" t="s">
        <v>16</v>
      </c>
      <c r="E216" s="1" t="s">
        <v>76</v>
      </c>
      <c r="F216" s="1" t="s">
        <v>81</v>
      </c>
      <c r="G216" s="9">
        <v>1068957.3500000001</v>
      </c>
      <c r="H216" s="1">
        <v>1584752.2</v>
      </c>
      <c r="I216" s="1">
        <v>698</v>
      </c>
      <c r="J216" s="1">
        <v>167</v>
      </c>
      <c r="K216" s="1">
        <v>119614</v>
      </c>
      <c r="L216" s="1" t="s">
        <v>30</v>
      </c>
      <c r="M216" s="1" t="s">
        <v>33</v>
      </c>
      <c r="N216" s="1">
        <v>2.4</v>
      </c>
    </row>
    <row r="217" spans="1:14" x14ac:dyDescent="0.3">
      <c r="A217" s="1" t="s">
        <v>462</v>
      </c>
      <c r="B217" s="1" t="s">
        <v>463</v>
      </c>
      <c r="C217" s="1">
        <v>66</v>
      </c>
      <c r="D217" s="1" t="s">
        <v>23</v>
      </c>
      <c r="E217" s="1" t="s">
        <v>29</v>
      </c>
      <c r="F217" s="1" t="s">
        <v>18</v>
      </c>
      <c r="G217" s="9">
        <v>157835.96</v>
      </c>
      <c r="H217" s="1">
        <v>218243.08</v>
      </c>
      <c r="I217" s="1">
        <v>741</v>
      </c>
      <c r="J217" s="1">
        <v>234</v>
      </c>
      <c r="K217" s="1">
        <v>90717</v>
      </c>
      <c r="L217" s="1" t="s">
        <v>19</v>
      </c>
      <c r="M217" s="1" t="s">
        <v>33</v>
      </c>
      <c r="N217" s="1">
        <v>3.2</v>
      </c>
    </row>
    <row r="218" spans="1:14" x14ac:dyDescent="0.3">
      <c r="A218" s="1" t="s">
        <v>464</v>
      </c>
      <c r="B218" s="1" t="s">
        <v>465</v>
      </c>
      <c r="C218" s="1">
        <v>53</v>
      </c>
      <c r="D218" s="1" t="s">
        <v>23</v>
      </c>
      <c r="E218" s="1" t="s">
        <v>29</v>
      </c>
      <c r="F218" s="1" t="s">
        <v>39</v>
      </c>
      <c r="G218" s="9">
        <v>897402.21</v>
      </c>
      <c r="H218" s="1">
        <v>1961096.81</v>
      </c>
      <c r="I218" s="1">
        <v>694</v>
      </c>
      <c r="J218" s="1">
        <v>11</v>
      </c>
      <c r="K218" s="1">
        <v>44396</v>
      </c>
      <c r="L218" s="1" t="s">
        <v>40</v>
      </c>
      <c r="M218" s="1" t="s">
        <v>33</v>
      </c>
      <c r="N218" s="1">
        <v>2.2000000000000002</v>
      </c>
    </row>
    <row r="219" spans="1:14" x14ac:dyDescent="0.3">
      <c r="A219" s="1" t="s">
        <v>466</v>
      </c>
      <c r="B219" s="1" t="s">
        <v>467</v>
      </c>
      <c r="C219" s="1">
        <v>28</v>
      </c>
      <c r="D219" s="1" t="s">
        <v>23</v>
      </c>
      <c r="E219" s="1" t="s">
        <v>17</v>
      </c>
      <c r="F219" s="1" t="s">
        <v>81</v>
      </c>
      <c r="G219" s="9">
        <v>407033.85</v>
      </c>
      <c r="H219" s="1">
        <v>671016.99</v>
      </c>
      <c r="I219" s="1">
        <v>449</v>
      </c>
      <c r="J219" s="1">
        <v>37</v>
      </c>
      <c r="K219" s="1">
        <v>56396</v>
      </c>
      <c r="L219" s="1" t="s">
        <v>30</v>
      </c>
      <c r="M219" s="1" t="s">
        <v>20</v>
      </c>
      <c r="N219" s="1">
        <v>1.7</v>
      </c>
    </row>
    <row r="220" spans="1:14" x14ac:dyDescent="0.3">
      <c r="A220" s="1" t="s">
        <v>468</v>
      </c>
      <c r="B220" s="1" t="s">
        <v>469</v>
      </c>
      <c r="C220" s="1">
        <v>41</v>
      </c>
      <c r="D220" s="1" t="s">
        <v>23</v>
      </c>
      <c r="E220" s="1" t="s">
        <v>29</v>
      </c>
      <c r="F220" s="1" t="s">
        <v>39</v>
      </c>
      <c r="G220" s="9">
        <v>1416612.33</v>
      </c>
      <c r="H220" s="1">
        <v>1802248.63</v>
      </c>
      <c r="I220" s="1">
        <v>807</v>
      </c>
      <c r="J220" s="1">
        <v>309</v>
      </c>
      <c r="K220" s="1">
        <v>85981</v>
      </c>
      <c r="L220" s="1" t="s">
        <v>26</v>
      </c>
      <c r="M220" s="1" t="s">
        <v>20</v>
      </c>
      <c r="N220" s="1">
        <v>3.5</v>
      </c>
    </row>
    <row r="221" spans="1:14" x14ac:dyDescent="0.3">
      <c r="A221" s="1" t="s">
        <v>470</v>
      </c>
      <c r="B221" s="1" t="s">
        <v>471</v>
      </c>
      <c r="C221" s="1">
        <v>43</v>
      </c>
      <c r="D221" s="1" t="s">
        <v>16</v>
      </c>
      <c r="E221" s="1" t="s">
        <v>55</v>
      </c>
      <c r="F221" s="1" t="s">
        <v>81</v>
      </c>
      <c r="G221" s="9">
        <v>1263212.01</v>
      </c>
      <c r="H221" s="1">
        <v>949724.89</v>
      </c>
      <c r="I221" s="1">
        <v>637</v>
      </c>
      <c r="J221" s="1">
        <v>230</v>
      </c>
      <c r="K221" s="1">
        <v>107088</v>
      </c>
      <c r="L221" s="1" t="s">
        <v>40</v>
      </c>
      <c r="M221" s="1" t="s">
        <v>33</v>
      </c>
      <c r="N221" s="1">
        <v>2.2999999999999998</v>
      </c>
    </row>
    <row r="222" spans="1:14" x14ac:dyDescent="0.3">
      <c r="A222" s="1" t="s">
        <v>472</v>
      </c>
      <c r="B222" s="1" t="s">
        <v>473</v>
      </c>
      <c r="C222" s="1">
        <v>38</v>
      </c>
      <c r="D222" s="1" t="s">
        <v>23</v>
      </c>
      <c r="E222" s="1" t="s">
        <v>24</v>
      </c>
      <c r="F222" s="1" t="s">
        <v>81</v>
      </c>
      <c r="G222" s="9">
        <v>1447039.06</v>
      </c>
      <c r="H222" s="1">
        <v>2421813.0499999998</v>
      </c>
      <c r="I222" s="1">
        <v>598</v>
      </c>
      <c r="J222" s="1">
        <v>381</v>
      </c>
      <c r="K222" s="1">
        <v>66566</v>
      </c>
      <c r="L222" s="1" t="s">
        <v>30</v>
      </c>
      <c r="M222" s="1" t="s">
        <v>33</v>
      </c>
      <c r="N222" s="1">
        <v>3.8</v>
      </c>
    </row>
    <row r="223" spans="1:14" x14ac:dyDescent="0.3">
      <c r="A223" s="1" t="s">
        <v>474</v>
      </c>
      <c r="B223" s="1" t="s">
        <v>475</v>
      </c>
      <c r="C223" s="1">
        <v>70</v>
      </c>
      <c r="D223" s="1" t="s">
        <v>16</v>
      </c>
      <c r="E223" s="1" t="s">
        <v>76</v>
      </c>
      <c r="F223" s="1" t="s">
        <v>25</v>
      </c>
      <c r="G223" s="9">
        <v>592438.02</v>
      </c>
      <c r="H223" s="1">
        <v>284719.56</v>
      </c>
      <c r="I223" s="1">
        <v>877</v>
      </c>
      <c r="J223" s="1">
        <v>107</v>
      </c>
      <c r="K223" s="1">
        <v>226010</v>
      </c>
      <c r="L223" s="1" t="s">
        <v>40</v>
      </c>
      <c r="M223" s="1" t="s">
        <v>33</v>
      </c>
      <c r="N223" s="1">
        <v>3.4</v>
      </c>
    </row>
    <row r="224" spans="1:14" x14ac:dyDescent="0.3">
      <c r="A224" s="1" t="s">
        <v>476</v>
      </c>
      <c r="B224" s="1" t="s">
        <v>477</v>
      </c>
      <c r="C224" s="1">
        <v>69</v>
      </c>
      <c r="D224" s="1" t="s">
        <v>23</v>
      </c>
      <c r="E224" s="1" t="s">
        <v>24</v>
      </c>
      <c r="F224" s="1" t="s">
        <v>81</v>
      </c>
      <c r="G224" s="9">
        <v>1247766.3</v>
      </c>
      <c r="H224" s="1">
        <v>172896.68</v>
      </c>
      <c r="I224" s="1">
        <v>718</v>
      </c>
      <c r="J224" s="1">
        <v>349</v>
      </c>
      <c r="K224" s="1">
        <v>96370</v>
      </c>
      <c r="L224" s="1" t="s">
        <v>40</v>
      </c>
      <c r="M224" s="1" t="s">
        <v>33</v>
      </c>
      <c r="N224" s="1">
        <v>3</v>
      </c>
    </row>
    <row r="225" spans="1:14" x14ac:dyDescent="0.3">
      <c r="A225" s="1" t="s">
        <v>478</v>
      </c>
      <c r="B225" s="1" t="s">
        <v>479</v>
      </c>
      <c r="C225" s="1">
        <v>68</v>
      </c>
      <c r="D225" s="1" t="s">
        <v>23</v>
      </c>
      <c r="E225" s="1" t="s">
        <v>76</v>
      </c>
      <c r="F225" s="1" t="s">
        <v>81</v>
      </c>
      <c r="G225" s="9">
        <v>115577.88</v>
      </c>
      <c r="H225" s="1">
        <v>2476751.54</v>
      </c>
      <c r="I225" s="1">
        <v>790</v>
      </c>
      <c r="J225" s="1">
        <v>303</v>
      </c>
      <c r="K225" s="1">
        <v>118825</v>
      </c>
      <c r="L225" s="1" t="s">
        <v>19</v>
      </c>
      <c r="M225" s="1" t="s">
        <v>20</v>
      </c>
      <c r="N225" s="1">
        <v>2.6</v>
      </c>
    </row>
    <row r="226" spans="1:14" x14ac:dyDescent="0.3">
      <c r="A226" s="1" t="s">
        <v>480</v>
      </c>
      <c r="B226" s="1" t="s">
        <v>481</v>
      </c>
      <c r="C226" s="1">
        <v>67</v>
      </c>
      <c r="D226" s="1" t="s">
        <v>23</v>
      </c>
      <c r="E226" s="1" t="s">
        <v>48</v>
      </c>
      <c r="F226" s="1" t="s">
        <v>25</v>
      </c>
      <c r="G226" s="9">
        <v>988114.46</v>
      </c>
      <c r="H226" s="1">
        <v>887522.05</v>
      </c>
      <c r="I226" s="1">
        <v>345</v>
      </c>
      <c r="J226" s="1">
        <v>293</v>
      </c>
      <c r="K226" s="1">
        <v>85072</v>
      </c>
      <c r="L226" s="1" t="s">
        <v>19</v>
      </c>
      <c r="M226" s="1" t="s">
        <v>20</v>
      </c>
      <c r="N226" s="1">
        <v>4.9000000000000004</v>
      </c>
    </row>
    <row r="227" spans="1:14" x14ac:dyDescent="0.3">
      <c r="A227" s="1" t="s">
        <v>482</v>
      </c>
      <c r="B227" s="1" t="s">
        <v>483</v>
      </c>
      <c r="C227" s="1">
        <v>24</v>
      </c>
      <c r="D227" s="1" t="s">
        <v>16</v>
      </c>
      <c r="E227" s="1" t="s">
        <v>45</v>
      </c>
      <c r="F227" s="1" t="s">
        <v>81</v>
      </c>
      <c r="G227" s="9">
        <v>336891.61</v>
      </c>
      <c r="H227" s="1">
        <v>1867132.57</v>
      </c>
      <c r="I227" s="1">
        <v>871</v>
      </c>
      <c r="J227" s="1">
        <v>302</v>
      </c>
      <c r="K227" s="1">
        <v>87826</v>
      </c>
      <c r="L227" s="1" t="s">
        <v>30</v>
      </c>
      <c r="M227" s="1" t="s">
        <v>33</v>
      </c>
      <c r="N227" s="1">
        <v>3.8</v>
      </c>
    </row>
    <row r="228" spans="1:14" x14ac:dyDescent="0.3">
      <c r="A228" s="1" t="s">
        <v>484</v>
      </c>
      <c r="B228" s="1" t="s">
        <v>485</v>
      </c>
      <c r="C228" s="1">
        <v>67</v>
      </c>
      <c r="D228" s="1" t="s">
        <v>23</v>
      </c>
      <c r="E228" s="1" t="s">
        <v>17</v>
      </c>
      <c r="F228" s="1" t="s">
        <v>18</v>
      </c>
      <c r="G228" s="9">
        <v>884941.99</v>
      </c>
      <c r="H228" s="1">
        <v>1251164.45</v>
      </c>
      <c r="I228" s="1">
        <v>653</v>
      </c>
      <c r="J228" s="1">
        <v>17</v>
      </c>
      <c r="K228" s="1">
        <v>198141</v>
      </c>
      <c r="L228" s="1" t="s">
        <v>19</v>
      </c>
      <c r="M228" s="1" t="s">
        <v>20</v>
      </c>
      <c r="N228" s="1">
        <v>2.9</v>
      </c>
    </row>
    <row r="229" spans="1:14" x14ac:dyDescent="0.3">
      <c r="A229" s="1" t="s">
        <v>486</v>
      </c>
      <c r="B229" s="1" t="s">
        <v>487</v>
      </c>
      <c r="C229" s="1">
        <v>40</v>
      </c>
      <c r="D229" s="1" t="s">
        <v>16</v>
      </c>
      <c r="E229" s="1" t="s">
        <v>45</v>
      </c>
      <c r="F229" s="1" t="s">
        <v>25</v>
      </c>
      <c r="G229" s="9">
        <v>517884.69</v>
      </c>
      <c r="H229" s="1">
        <v>1960674.99</v>
      </c>
      <c r="I229" s="1">
        <v>833</v>
      </c>
      <c r="J229" s="1">
        <v>252</v>
      </c>
      <c r="K229" s="1">
        <v>101760</v>
      </c>
      <c r="L229" s="1" t="s">
        <v>26</v>
      </c>
      <c r="M229" s="1" t="s">
        <v>20</v>
      </c>
      <c r="N229" s="1">
        <v>2.4</v>
      </c>
    </row>
    <row r="230" spans="1:14" x14ac:dyDescent="0.3">
      <c r="A230" s="1" t="s">
        <v>488</v>
      </c>
      <c r="B230" s="1" t="s">
        <v>489</v>
      </c>
      <c r="C230" s="1">
        <v>37</v>
      </c>
      <c r="D230" s="1" t="s">
        <v>16</v>
      </c>
      <c r="E230" s="1" t="s">
        <v>24</v>
      </c>
      <c r="F230" s="1" t="s">
        <v>39</v>
      </c>
      <c r="G230" s="9">
        <v>1216227.98</v>
      </c>
      <c r="H230" s="1">
        <v>287713.17</v>
      </c>
      <c r="I230" s="1">
        <v>651</v>
      </c>
      <c r="J230" s="1">
        <v>336</v>
      </c>
      <c r="K230" s="1">
        <v>31713</v>
      </c>
      <c r="L230" s="1" t="s">
        <v>40</v>
      </c>
      <c r="M230" s="1" t="s">
        <v>33</v>
      </c>
      <c r="N230" s="1">
        <v>1.4</v>
      </c>
    </row>
    <row r="231" spans="1:14" x14ac:dyDescent="0.3">
      <c r="A231" s="1" t="s">
        <v>490</v>
      </c>
      <c r="B231" s="1" t="s">
        <v>491</v>
      </c>
      <c r="C231" s="1">
        <v>53</v>
      </c>
      <c r="D231" s="1" t="s">
        <v>23</v>
      </c>
      <c r="E231" s="1" t="s">
        <v>17</v>
      </c>
      <c r="F231" s="1" t="s">
        <v>18</v>
      </c>
      <c r="G231" s="9">
        <v>1437901.62</v>
      </c>
      <c r="H231" s="1">
        <v>579638.87</v>
      </c>
      <c r="I231" s="1">
        <v>714</v>
      </c>
      <c r="J231" s="1">
        <v>327</v>
      </c>
      <c r="K231" s="1">
        <v>131770</v>
      </c>
      <c r="L231" s="1" t="s">
        <v>40</v>
      </c>
      <c r="M231" s="1" t="s">
        <v>33</v>
      </c>
      <c r="N231" s="1">
        <v>1.7</v>
      </c>
    </row>
    <row r="232" spans="1:14" x14ac:dyDescent="0.3">
      <c r="A232" s="1" t="s">
        <v>492</v>
      </c>
      <c r="B232" s="1" t="s">
        <v>493</v>
      </c>
      <c r="C232" s="1">
        <v>55</v>
      </c>
      <c r="D232" s="1" t="s">
        <v>16</v>
      </c>
      <c r="E232" s="1" t="s">
        <v>29</v>
      </c>
      <c r="F232" s="1" t="s">
        <v>39</v>
      </c>
      <c r="G232" s="9">
        <v>586309.49</v>
      </c>
      <c r="H232" s="1">
        <v>1761839.04</v>
      </c>
      <c r="I232" s="1">
        <v>510</v>
      </c>
      <c r="J232" s="1">
        <v>147</v>
      </c>
      <c r="K232" s="1">
        <v>132604</v>
      </c>
      <c r="L232" s="1" t="s">
        <v>26</v>
      </c>
      <c r="M232" s="1" t="s">
        <v>33</v>
      </c>
      <c r="N232" s="1">
        <v>4</v>
      </c>
    </row>
    <row r="233" spans="1:14" x14ac:dyDescent="0.3">
      <c r="A233" s="1" t="s">
        <v>494</v>
      </c>
      <c r="B233" s="1" t="s">
        <v>495</v>
      </c>
      <c r="C233" s="1">
        <v>30</v>
      </c>
      <c r="D233" s="1" t="s">
        <v>23</v>
      </c>
      <c r="E233" s="1" t="s">
        <v>17</v>
      </c>
      <c r="F233" s="1" t="s">
        <v>25</v>
      </c>
      <c r="G233" s="9">
        <v>175362.68</v>
      </c>
      <c r="H233" s="1">
        <v>1676753.57</v>
      </c>
      <c r="I233" s="1">
        <v>801</v>
      </c>
      <c r="J233" s="1">
        <v>275</v>
      </c>
      <c r="K233" s="1">
        <v>139944</v>
      </c>
      <c r="L233" s="1" t="s">
        <v>19</v>
      </c>
      <c r="M233" s="1" t="s">
        <v>33</v>
      </c>
      <c r="N233" s="1">
        <v>4.9000000000000004</v>
      </c>
    </row>
    <row r="234" spans="1:14" x14ac:dyDescent="0.3">
      <c r="A234" s="1" t="s">
        <v>496</v>
      </c>
      <c r="B234" s="1" t="s">
        <v>497</v>
      </c>
      <c r="C234" s="1">
        <v>40</v>
      </c>
      <c r="D234" s="1" t="s">
        <v>16</v>
      </c>
      <c r="E234" s="1" t="s">
        <v>38</v>
      </c>
      <c r="F234" s="1" t="s">
        <v>81</v>
      </c>
      <c r="G234" s="9">
        <v>689501.58</v>
      </c>
      <c r="H234" s="1">
        <v>431318.78</v>
      </c>
      <c r="I234" s="1">
        <v>604</v>
      </c>
      <c r="J234" s="1">
        <v>475</v>
      </c>
      <c r="K234" s="1">
        <v>241647</v>
      </c>
      <c r="L234" s="1" t="s">
        <v>19</v>
      </c>
      <c r="M234" s="1" t="s">
        <v>20</v>
      </c>
      <c r="N234" s="1">
        <v>3.5</v>
      </c>
    </row>
    <row r="235" spans="1:14" x14ac:dyDescent="0.3">
      <c r="A235" s="1" t="s">
        <v>498</v>
      </c>
      <c r="B235" s="1" t="s">
        <v>499</v>
      </c>
      <c r="C235" s="1">
        <v>37</v>
      </c>
      <c r="D235" s="1" t="s">
        <v>16</v>
      </c>
      <c r="E235" s="1" t="s">
        <v>17</v>
      </c>
      <c r="F235" s="1" t="s">
        <v>25</v>
      </c>
      <c r="G235" s="9">
        <v>278651.55</v>
      </c>
      <c r="H235" s="1">
        <v>1733591.35</v>
      </c>
      <c r="I235" s="1">
        <v>823</v>
      </c>
      <c r="J235" s="1">
        <v>203</v>
      </c>
      <c r="K235" s="1">
        <v>50657</v>
      </c>
      <c r="L235" s="1" t="s">
        <v>40</v>
      </c>
      <c r="M235" s="1" t="s">
        <v>33</v>
      </c>
      <c r="N235" s="1">
        <v>2.7</v>
      </c>
    </row>
    <row r="236" spans="1:14" x14ac:dyDescent="0.3">
      <c r="A236" s="1" t="s">
        <v>500</v>
      </c>
      <c r="B236" s="1" t="s">
        <v>501</v>
      </c>
      <c r="C236" s="1">
        <v>58</v>
      </c>
      <c r="D236" s="1" t="s">
        <v>23</v>
      </c>
      <c r="E236" s="1" t="s">
        <v>38</v>
      </c>
      <c r="F236" s="1" t="s">
        <v>39</v>
      </c>
      <c r="G236" s="9">
        <v>1041682.23</v>
      </c>
      <c r="H236" s="1">
        <v>1613150.24</v>
      </c>
      <c r="I236" s="1">
        <v>477</v>
      </c>
      <c r="J236" s="1">
        <v>289</v>
      </c>
      <c r="K236" s="1">
        <v>160870</v>
      </c>
      <c r="L236" s="1" t="s">
        <v>26</v>
      </c>
      <c r="M236" s="1" t="s">
        <v>33</v>
      </c>
      <c r="N236" s="1">
        <v>1.7</v>
      </c>
    </row>
    <row r="237" spans="1:14" x14ac:dyDescent="0.3">
      <c r="A237" s="1" t="s">
        <v>502</v>
      </c>
      <c r="B237" s="1" t="s">
        <v>503</v>
      </c>
      <c r="C237" s="1">
        <v>57</v>
      </c>
      <c r="D237" s="1" t="s">
        <v>23</v>
      </c>
      <c r="E237" s="1" t="s">
        <v>45</v>
      </c>
      <c r="F237" s="1" t="s">
        <v>25</v>
      </c>
      <c r="G237" s="9">
        <v>1298955.74</v>
      </c>
      <c r="H237" s="1">
        <v>2379604.88</v>
      </c>
      <c r="I237" s="1">
        <v>796</v>
      </c>
      <c r="J237" s="1">
        <v>74</v>
      </c>
      <c r="K237" s="1">
        <v>34053</v>
      </c>
      <c r="L237" s="1" t="s">
        <v>30</v>
      </c>
      <c r="M237" s="1" t="s">
        <v>33</v>
      </c>
      <c r="N237" s="1">
        <v>1.8</v>
      </c>
    </row>
    <row r="238" spans="1:14" x14ac:dyDescent="0.3">
      <c r="A238" s="1" t="s">
        <v>504</v>
      </c>
      <c r="B238" s="1" t="s">
        <v>505</v>
      </c>
      <c r="C238" s="1">
        <v>63</v>
      </c>
      <c r="D238" s="1" t="s">
        <v>16</v>
      </c>
      <c r="E238" s="1" t="s">
        <v>55</v>
      </c>
      <c r="F238" s="1" t="s">
        <v>18</v>
      </c>
      <c r="G238" s="9">
        <v>668558.36</v>
      </c>
      <c r="H238" s="1">
        <v>418133.72</v>
      </c>
      <c r="I238" s="1">
        <v>878</v>
      </c>
      <c r="J238" s="1">
        <v>20</v>
      </c>
      <c r="K238" s="1">
        <v>240172</v>
      </c>
      <c r="L238" s="1" t="s">
        <v>26</v>
      </c>
      <c r="M238" s="1" t="s">
        <v>20</v>
      </c>
      <c r="N238" s="1">
        <v>4.2</v>
      </c>
    </row>
    <row r="239" spans="1:14" x14ac:dyDescent="0.3">
      <c r="A239" s="1" t="s">
        <v>506</v>
      </c>
      <c r="B239" s="1" t="s">
        <v>507</v>
      </c>
      <c r="C239" s="1">
        <v>52</v>
      </c>
      <c r="D239" s="1" t="s">
        <v>16</v>
      </c>
      <c r="E239" s="1" t="s">
        <v>55</v>
      </c>
      <c r="F239" s="1" t="s">
        <v>81</v>
      </c>
      <c r="G239" s="9">
        <v>256472.42</v>
      </c>
      <c r="H239" s="1">
        <v>1143303.47</v>
      </c>
      <c r="I239" s="1">
        <v>807</v>
      </c>
      <c r="J239" s="1">
        <v>286</v>
      </c>
      <c r="K239" s="1">
        <v>95673</v>
      </c>
      <c r="L239" s="1" t="s">
        <v>19</v>
      </c>
      <c r="M239" s="1" t="s">
        <v>33</v>
      </c>
      <c r="N239" s="1">
        <v>3</v>
      </c>
    </row>
    <row r="240" spans="1:14" x14ac:dyDescent="0.3">
      <c r="A240" s="1" t="s">
        <v>508</v>
      </c>
      <c r="B240" s="1" t="s">
        <v>509</v>
      </c>
      <c r="C240" s="1">
        <v>52</v>
      </c>
      <c r="D240" s="1" t="s">
        <v>16</v>
      </c>
      <c r="E240" s="1" t="s">
        <v>45</v>
      </c>
      <c r="F240" s="1" t="s">
        <v>81</v>
      </c>
      <c r="G240" s="9">
        <v>1484714.71</v>
      </c>
      <c r="H240" s="1">
        <v>256041.1</v>
      </c>
      <c r="I240" s="1">
        <v>553</v>
      </c>
      <c r="J240" s="1">
        <v>157</v>
      </c>
      <c r="K240" s="1">
        <v>77289</v>
      </c>
      <c r="L240" s="1" t="s">
        <v>26</v>
      </c>
      <c r="M240" s="1" t="s">
        <v>20</v>
      </c>
      <c r="N240" s="1">
        <v>4.5</v>
      </c>
    </row>
    <row r="241" spans="1:14" x14ac:dyDescent="0.3">
      <c r="A241" s="1" t="s">
        <v>510</v>
      </c>
      <c r="B241" s="1" t="s">
        <v>511</v>
      </c>
      <c r="C241" s="1">
        <v>46</v>
      </c>
      <c r="D241" s="1" t="s">
        <v>23</v>
      </c>
      <c r="E241" s="1" t="s">
        <v>17</v>
      </c>
      <c r="F241" s="1" t="s">
        <v>39</v>
      </c>
      <c r="G241" s="9">
        <v>1490966.74</v>
      </c>
      <c r="H241" s="1">
        <v>1939079.12</v>
      </c>
      <c r="I241" s="1">
        <v>542</v>
      </c>
      <c r="J241" s="1">
        <v>112</v>
      </c>
      <c r="K241" s="1">
        <v>246830</v>
      </c>
      <c r="L241" s="1" t="s">
        <v>40</v>
      </c>
      <c r="M241" s="1" t="s">
        <v>20</v>
      </c>
      <c r="N241" s="1">
        <v>4.2</v>
      </c>
    </row>
    <row r="242" spans="1:14" x14ac:dyDescent="0.3">
      <c r="A242" s="1" t="s">
        <v>512</v>
      </c>
      <c r="B242" s="1" t="s">
        <v>513</v>
      </c>
      <c r="C242" s="1">
        <v>70</v>
      </c>
      <c r="D242" s="1" t="s">
        <v>16</v>
      </c>
      <c r="E242" s="1" t="s">
        <v>48</v>
      </c>
      <c r="F242" s="1" t="s">
        <v>81</v>
      </c>
      <c r="G242" s="9">
        <v>1209133.54</v>
      </c>
      <c r="H242" s="1">
        <v>1425185.86</v>
      </c>
      <c r="I242" s="1">
        <v>845</v>
      </c>
      <c r="J242" s="1">
        <v>148</v>
      </c>
      <c r="K242" s="1">
        <v>74248</v>
      </c>
      <c r="L242" s="1" t="s">
        <v>26</v>
      </c>
      <c r="M242" s="1" t="s">
        <v>33</v>
      </c>
      <c r="N242" s="1">
        <v>3.4</v>
      </c>
    </row>
    <row r="243" spans="1:14" x14ac:dyDescent="0.3">
      <c r="A243" s="1" t="s">
        <v>514</v>
      </c>
      <c r="B243" s="1" t="s">
        <v>515</v>
      </c>
      <c r="C243" s="1">
        <v>50</v>
      </c>
      <c r="D243" s="1" t="s">
        <v>23</v>
      </c>
      <c r="E243" s="1" t="s">
        <v>38</v>
      </c>
      <c r="F243" s="1" t="s">
        <v>39</v>
      </c>
      <c r="G243" s="9">
        <v>1223695.45</v>
      </c>
      <c r="H243" s="1">
        <v>338972.27</v>
      </c>
      <c r="I243" s="1">
        <v>721</v>
      </c>
      <c r="J243" s="1">
        <v>475</v>
      </c>
      <c r="K243" s="1">
        <v>198074</v>
      </c>
      <c r="L243" s="1" t="s">
        <v>40</v>
      </c>
      <c r="M243" s="1" t="s">
        <v>20</v>
      </c>
      <c r="N243" s="1">
        <v>1.2</v>
      </c>
    </row>
    <row r="244" spans="1:14" x14ac:dyDescent="0.3">
      <c r="A244" s="1" t="s">
        <v>516</v>
      </c>
      <c r="B244" s="1" t="s">
        <v>517</v>
      </c>
      <c r="C244" s="1">
        <v>63</v>
      </c>
      <c r="D244" s="1" t="s">
        <v>23</v>
      </c>
      <c r="E244" s="1" t="s">
        <v>17</v>
      </c>
      <c r="F244" s="1" t="s">
        <v>25</v>
      </c>
      <c r="G244" s="9">
        <v>1243580.3</v>
      </c>
      <c r="H244" s="1">
        <v>1903683.97</v>
      </c>
      <c r="I244" s="1">
        <v>702</v>
      </c>
      <c r="J244" s="1">
        <v>255</v>
      </c>
      <c r="K244" s="1">
        <v>104435</v>
      </c>
      <c r="L244" s="1" t="s">
        <v>30</v>
      </c>
      <c r="M244" s="1" t="s">
        <v>20</v>
      </c>
      <c r="N244" s="1">
        <v>1.6</v>
      </c>
    </row>
    <row r="245" spans="1:14" x14ac:dyDescent="0.3">
      <c r="A245" s="1" t="s">
        <v>518</v>
      </c>
      <c r="B245" s="1" t="s">
        <v>519</v>
      </c>
      <c r="C245" s="1">
        <v>58</v>
      </c>
      <c r="D245" s="1" t="s">
        <v>23</v>
      </c>
      <c r="E245" s="1" t="s">
        <v>45</v>
      </c>
      <c r="F245" s="1" t="s">
        <v>25</v>
      </c>
      <c r="G245" s="9">
        <v>1320787</v>
      </c>
      <c r="H245" s="1">
        <v>232736.96</v>
      </c>
      <c r="I245" s="1">
        <v>827</v>
      </c>
      <c r="J245" s="1">
        <v>388</v>
      </c>
      <c r="K245" s="1">
        <v>228299</v>
      </c>
      <c r="L245" s="1" t="s">
        <v>26</v>
      </c>
      <c r="M245" s="1" t="s">
        <v>20</v>
      </c>
      <c r="N245" s="1">
        <v>2.1</v>
      </c>
    </row>
    <row r="246" spans="1:14" x14ac:dyDescent="0.3">
      <c r="A246" s="1" t="s">
        <v>520</v>
      </c>
      <c r="B246" s="1" t="s">
        <v>521</v>
      </c>
      <c r="C246" s="1">
        <v>67</v>
      </c>
      <c r="D246" s="1" t="s">
        <v>23</v>
      </c>
      <c r="E246" s="1" t="s">
        <v>29</v>
      </c>
      <c r="F246" s="1" t="s">
        <v>25</v>
      </c>
      <c r="G246" s="9">
        <v>1100422.42</v>
      </c>
      <c r="H246" s="1">
        <v>1827329.84</v>
      </c>
      <c r="I246" s="1">
        <v>769</v>
      </c>
      <c r="J246" s="1">
        <v>330</v>
      </c>
      <c r="K246" s="1">
        <v>242079</v>
      </c>
      <c r="L246" s="1" t="s">
        <v>40</v>
      </c>
      <c r="M246" s="1" t="s">
        <v>33</v>
      </c>
      <c r="N246" s="1">
        <v>3.7</v>
      </c>
    </row>
    <row r="247" spans="1:14" x14ac:dyDescent="0.3">
      <c r="A247" s="1" t="s">
        <v>522</v>
      </c>
      <c r="B247" s="1" t="s">
        <v>523</v>
      </c>
      <c r="C247" s="1">
        <v>70</v>
      </c>
      <c r="D247" s="1" t="s">
        <v>16</v>
      </c>
      <c r="E247" s="1" t="s">
        <v>45</v>
      </c>
      <c r="F247" s="1" t="s">
        <v>81</v>
      </c>
      <c r="G247" s="9">
        <v>744598.85</v>
      </c>
      <c r="H247" s="1">
        <v>807162.87</v>
      </c>
      <c r="I247" s="1">
        <v>590</v>
      </c>
      <c r="J247" s="1">
        <v>177</v>
      </c>
      <c r="K247" s="1">
        <v>75535</v>
      </c>
      <c r="L247" s="1" t="s">
        <v>19</v>
      </c>
      <c r="M247" s="1" t="s">
        <v>20</v>
      </c>
      <c r="N247" s="1">
        <v>3.2</v>
      </c>
    </row>
    <row r="248" spans="1:14" x14ac:dyDescent="0.3">
      <c r="A248" s="1" t="s">
        <v>524</v>
      </c>
      <c r="B248" s="1" t="s">
        <v>525</v>
      </c>
      <c r="C248" s="1">
        <v>24</v>
      </c>
      <c r="D248" s="1" t="s">
        <v>23</v>
      </c>
      <c r="E248" s="1" t="s">
        <v>45</v>
      </c>
      <c r="F248" s="1" t="s">
        <v>18</v>
      </c>
      <c r="G248" s="9">
        <v>1176915.19</v>
      </c>
      <c r="H248" s="1">
        <v>1148954.4099999999</v>
      </c>
      <c r="I248" s="1">
        <v>427</v>
      </c>
      <c r="J248" s="1">
        <v>480</v>
      </c>
      <c r="K248" s="1">
        <v>184149</v>
      </c>
      <c r="L248" s="1" t="s">
        <v>30</v>
      </c>
      <c r="M248" s="1" t="s">
        <v>20</v>
      </c>
      <c r="N248" s="1">
        <v>4.4000000000000004</v>
      </c>
    </row>
    <row r="249" spans="1:14" x14ac:dyDescent="0.3">
      <c r="A249" s="1" t="s">
        <v>526</v>
      </c>
      <c r="B249" s="1" t="s">
        <v>527</v>
      </c>
      <c r="C249" s="1">
        <v>62</v>
      </c>
      <c r="D249" s="1" t="s">
        <v>23</v>
      </c>
      <c r="E249" s="1" t="s">
        <v>29</v>
      </c>
      <c r="F249" s="1" t="s">
        <v>81</v>
      </c>
      <c r="G249" s="9">
        <v>1323810.9099999999</v>
      </c>
      <c r="H249" s="1">
        <v>754663.76</v>
      </c>
      <c r="I249" s="1">
        <v>580</v>
      </c>
      <c r="J249" s="1">
        <v>52</v>
      </c>
      <c r="K249" s="1">
        <v>54580</v>
      </c>
      <c r="L249" s="1" t="s">
        <v>40</v>
      </c>
      <c r="M249" s="1" t="s">
        <v>20</v>
      </c>
      <c r="N249" s="1">
        <v>3.6</v>
      </c>
    </row>
    <row r="250" spans="1:14" x14ac:dyDescent="0.3">
      <c r="A250" s="1" t="s">
        <v>528</v>
      </c>
      <c r="B250" s="1" t="s">
        <v>529</v>
      </c>
      <c r="C250" s="1">
        <v>43</v>
      </c>
      <c r="D250" s="1" t="s">
        <v>16</v>
      </c>
      <c r="E250" s="1" t="s">
        <v>76</v>
      </c>
      <c r="F250" s="1" t="s">
        <v>39</v>
      </c>
      <c r="G250" s="9">
        <v>461736.32</v>
      </c>
      <c r="H250" s="1">
        <v>1748603.43</v>
      </c>
      <c r="I250" s="1">
        <v>539</v>
      </c>
      <c r="J250" s="1">
        <v>224</v>
      </c>
      <c r="K250" s="1">
        <v>183998</v>
      </c>
      <c r="L250" s="1" t="s">
        <v>30</v>
      </c>
      <c r="M250" s="1" t="s">
        <v>20</v>
      </c>
      <c r="N250" s="1">
        <v>3.6</v>
      </c>
    </row>
    <row r="251" spans="1:14" x14ac:dyDescent="0.3">
      <c r="A251" s="1" t="s">
        <v>530</v>
      </c>
      <c r="B251" s="1" t="s">
        <v>531</v>
      </c>
      <c r="C251" s="1">
        <v>26</v>
      </c>
      <c r="D251" s="1" t="s">
        <v>16</v>
      </c>
      <c r="E251" s="1" t="s">
        <v>17</v>
      </c>
      <c r="F251" s="1" t="s">
        <v>39</v>
      </c>
      <c r="G251" s="9">
        <v>343155.34</v>
      </c>
      <c r="H251" s="1">
        <v>1699956.81</v>
      </c>
      <c r="I251" s="1">
        <v>309</v>
      </c>
      <c r="J251" s="1">
        <v>9</v>
      </c>
      <c r="K251" s="1">
        <v>175629</v>
      </c>
      <c r="L251" s="1" t="s">
        <v>30</v>
      </c>
      <c r="M251" s="1" t="s">
        <v>20</v>
      </c>
      <c r="N251" s="1">
        <v>3.8</v>
      </c>
    </row>
    <row r="252" spans="1:14" x14ac:dyDescent="0.3">
      <c r="A252" s="1" t="s">
        <v>532</v>
      </c>
      <c r="B252" s="1" t="s">
        <v>533</v>
      </c>
      <c r="C252" s="1">
        <v>32</v>
      </c>
      <c r="D252" s="1" t="s">
        <v>23</v>
      </c>
      <c r="E252" s="1" t="s">
        <v>38</v>
      </c>
      <c r="F252" s="1" t="s">
        <v>25</v>
      </c>
      <c r="G252" s="9">
        <v>138549.97</v>
      </c>
      <c r="H252" s="1">
        <v>2014892.08</v>
      </c>
      <c r="I252" s="1">
        <v>405</v>
      </c>
      <c r="J252" s="1">
        <v>165</v>
      </c>
      <c r="K252" s="1">
        <v>120419</v>
      </c>
      <c r="L252" s="1" t="s">
        <v>40</v>
      </c>
      <c r="M252" s="1" t="s">
        <v>20</v>
      </c>
      <c r="N252" s="1">
        <v>2.5</v>
      </c>
    </row>
    <row r="253" spans="1:14" x14ac:dyDescent="0.3">
      <c r="A253" s="1" t="s">
        <v>534</v>
      </c>
      <c r="B253" s="1" t="s">
        <v>535</v>
      </c>
      <c r="C253" s="1">
        <v>22</v>
      </c>
      <c r="D253" s="1" t="s">
        <v>16</v>
      </c>
      <c r="E253" s="1" t="s">
        <v>38</v>
      </c>
      <c r="F253" s="1" t="s">
        <v>25</v>
      </c>
      <c r="G253" s="9">
        <v>847120.37</v>
      </c>
      <c r="H253" s="1">
        <v>1525798.1</v>
      </c>
      <c r="I253" s="1">
        <v>468</v>
      </c>
      <c r="J253" s="1">
        <v>230</v>
      </c>
      <c r="K253" s="1">
        <v>159069</v>
      </c>
      <c r="L253" s="1" t="s">
        <v>30</v>
      </c>
      <c r="M253" s="1" t="s">
        <v>20</v>
      </c>
      <c r="N253" s="1">
        <v>2.4</v>
      </c>
    </row>
    <row r="254" spans="1:14" x14ac:dyDescent="0.3">
      <c r="A254" s="1" t="s">
        <v>536</v>
      </c>
      <c r="B254" s="1" t="s">
        <v>537</v>
      </c>
      <c r="C254" s="1">
        <v>23</v>
      </c>
      <c r="D254" s="1" t="s">
        <v>23</v>
      </c>
      <c r="E254" s="1" t="s">
        <v>38</v>
      </c>
      <c r="F254" s="1" t="s">
        <v>39</v>
      </c>
      <c r="G254" s="9">
        <v>214319.65</v>
      </c>
      <c r="H254" s="1">
        <v>307893.06</v>
      </c>
      <c r="I254" s="1">
        <v>693</v>
      </c>
      <c r="J254" s="1">
        <v>184</v>
      </c>
      <c r="K254" s="1">
        <v>46336</v>
      </c>
      <c r="L254" s="1" t="s">
        <v>26</v>
      </c>
      <c r="M254" s="1" t="s">
        <v>20</v>
      </c>
      <c r="N254" s="1">
        <v>4.9000000000000004</v>
      </c>
    </row>
    <row r="255" spans="1:14" x14ac:dyDescent="0.3">
      <c r="A255" s="1" t="s">
        <v>538</v>
      </c>
      <c r="B255" s="1" t="s">
        <v>539</v>
      </c>
      <c r="C255" s="1">
        <v>33</v>
      </c>
      <c r="D255" s="1" t="s">
        <v>16</v>
      </c>
      <c r="E255" s="1" t="s">
        <v>55</v>
      </c>
      <c r="F255" s="1" t="s">
        <v>39</v>
      </c>
      <c r="G255" s="9">
        <v>903493.6</v>
      </c>
      <c r="H255" s="1">
        <v>1802949.1</v>
      </c>
      <c r="I255" s="1">
        <v>591</v>
      </c>
      <c r="J255" s="1">
        <v>403</v>
      </c>
      <c r="K255" s="1">
        <v>165069</v>
      </c>
      <c r="L255" s="1" t="s">
        <v>40</v>
      </c>
      <c r="M255" s="1" t="s">
        <v>33</v>
      </c>
      <c r="N255" s="1">
        <v>4.8</v>
      </c>
    </row>
    <row r="256" spans="1:14" x14ac:dyDescent="0.3">
      <c r="A256" s="1" t="s">
        <v>540</v>
      </c>
      <c r="B256" s="1" t="s">
        <v>541</v>
      </c>
      <c r="C256" s="1">
        <v>36</v>
      </c>
      <c r="D256" s="1" t="s">
        <v>16</v>
      </c>
      <c r="E256" s="1" t="s">
        <v>45</v>
      </c>
      <c r="F256" s="1" t="s">
        <v>18</v>
      </c>
      <c r="G256" s="9">
        <v>86580.85</v>
      </c>
      <c r="H256" s="1">
        <v>2244781.4</v>
      </c>
      <c r="I256" s="1">
        <v>545</v>
      </c>
      <c r="J256" s="1">
        <v>258</v>
      </c>
      <c r="K256" s="1">
        <v>189389</v>
      </c>
      <c r="L256" s="1" t="s">
        <v>19</v>
      </c>
      <c r="M256" s="1" t="s">
        <v>33</v>
      </c>
      <c r="N256" s="1">
        <v>2.5</v>
      </c>
    </row>
    <row r="257" spans="1:14" x14ac:dyDescent="0.3">
      <c r="A257" s="1" t="s">
        <v>542</v>
      </c>
      <c r="B257" s="1" t="s">
        <v>543</v>
      </c>
      <c r="C257" s="1">
        <v>38</v>
      </c>
      <c r="D257" s="1" t="s">
        <v>16</v>
      </c>
      <c r="E257" s="1" t="s">
        <v>45</v>
      </c>
      <c r="F257" s="1" t="s">
        <v>18</v>
      </c>
      <c r="G257" s="9">
        <v>583323.18000000005</v>
      </c>
      <c r="H257" s="1">
        <v>2097433.2599999998</v>
      </c>
      <c r="I257" s="1">
        <v>730</v>
      </c>
      <c r="J257" s="1">
        <v>192</v>
      </c>
      <c r="K257" s="1">
        <v>54598</v>
      </c>
      <c r="L257" s="1" t="s">
        <v>19</v>
      </c>
      <c r="M257" s="1" t="s">
        <v>20</v>
      </c>
      <c r="N257" s="1">
        <v>3.2</v>
      </c>
    </row>
    <row r="258" spans="1:14" x14ac:dyDescent="0.3">
      <c r="A258" s="1" t="s">
        <v>544</v>
      </c>
      <c r="B258" s="1" t="s">
        <v>545</v>
      </c>
      <c r="C258" s="1">
        <v>18</v>
      </c>
      <c r="D258" s="1" t="s">
        <v>23</v>
      </c>
      <c r="E258" s="1" t="s">
        <v>17</v>
      </c>
      <c r="F258" s="1" t="s">
        <v>25</v>
      </c>
      <c r="G258" s="9">
        <v>327535.69</v>
      </c>
      <c r="H258" s="1">
        <v>2306448.2200000002</v>
      </c>
      <c r="I258" s="1">
        <v>707</v>
      </c>
      <c r="J258" s="1">
        <v>264</v>
      </c>
      <c r="K258" s="1">
        <v>88730</v>
      </c>
      <c r="L258" s="1" t="s">
        <v>19</v>
      </c>
      <c r="M258" s="1" t="s">
        <v>20</v>
      </c>
      <c r="N258" s="1">
        <v>2.1</v>
      </c>
    </row>
    <row r="259" spans="1:14" x14ac:dyDescent="0.3">
      <c r="A259" s="1" t="s">
        <v>546</v>
      </c>
      <c r="B259" s="1" t="s">
        <v>547</v>
      </c>
      <c r="C259" s="1">
        <v>35</v>
      </c>
      <c r="D259" s="1" t="s">
        <v>23</v>
      </c>
      <c r="E259" s="1" t="s">
        <v>17</v>
      </c>
      <c r="F259" s="1" t="s">
        <v>18</v>
      </c>
      <c r="G259" s="9">
        <v>468310.79</v>
      </c>
      <c r="H259" s="1">
        <v>1278261.75</v>
      </c>
      <c r="I259" s="1">
        <v>508</v>
      </c>
      <c r="J259" s="1">
        <v>418</v>
      </c>
      <c r="K259" s="1">
        <v>41914</v>
      </c>
      <c r="L259" s="1" t="s">
        <v>26</v>
      </c>
      <c r="M259" s="1" t="s">
        <v>33</v>
      </c>
      <c r="N259" s="1">
        <v>1.6</v>
      </c>
    </row>
    <row r="260" spans="1:14" x14ac:dyDescent="0.3">
      <c r="A260" s="1" t="s">
        <v>548</v>
      </c>
      <c r="B260" s="1" t="s">
        <v>549</v>
      </c>
      <c r="C260" s="1">
        <v>64</v>
      </c>
      <c r="D260" s="1" t="s">
        <v>16</v>
      </c>
      <c r="E260" s="1" t="s">
        <v>55</v>
      </c>
      <c r="F260" s="1" t="s">
        <v>39</v>
      </c>
      <c r="G260" s="9">
        <v>361762.9</v>
      </c>
      <c r="H260" s="1">
        <v>611199.38</v>
      </c>
      <c r="I260" s="1">
        <v>744</v>
      </c>
      <c r="J260" s="1">
        <v>64</v>
      </c>
      <c r="K260" s="1">
        <v>241896</v>
      </c>
      <c r="L260" s="1" t="s">
        <v>19</v>
      </c>
      <c r="M260" s="1" t="s">
        <v>20</v>
      </c>
      <c r="N260" s="1">
        <v>2.8</v>
      </c>
    </row>
    <row r="261" spans="1:14" x14ac:dyDescent="0.3">
      <c r="A261" s="1" t="s">
        <v>550</v>
      </c>
      <c r="B261" s="1" t="s">
        <v>551</v>
      </c>
      <c r="C261" s="1">
        <v>63</v>
      </c>
      <c r="D261" s="1" t="s">
        <v>23</v>
      </c>
      <c r="E261" s="1" t="s">
        <v>38</v>
      </c>
      <c r="F261" s="1" t="s">
        <v>81</v>
      </c>
      <c r="G261" s="9">
        <v>1053741.92</v>
      </c>
      <c r="H261" s="1">
        <v>409581.58</v>
      </c>
      <c r="I261" s="1">
        <v>655</v>
      </c>
      <c r="J261" s="1">
        <v>272</v>
      </c>
      <c r="K261" s="1">
        <v>55969</v>
      </c>
      <c r="L261" s="1" t="s">
        <v>40</v>
      </c>
      <c r="M261" s="1" t="s">
        <v>33</v>
      </c>
      <c r="N261" s="1">
        <v>3.1</v>
      </c>
    </row>
    <row r="262" spans="1:14" x14ac:dyDescent="0.3">
      <c r="A262" s="1" t="s">
        <v>552</v>
      </c>
      <c r="B262" s="1" t="s">
        <v>553</v>
      </c>
      <c r="C262" s="1">
        <v>64</v>
      </c>
      <c r="D262" s="1" t="s">
        <v>23</v>
      </c>
      <c r="E262" s="1" t="s">
        <v>29</v>
      </c>
      <c r="F262" s="1" t="s">
        <v>25</v>
      </c>
      <c r="G262" s="9">
        <v>1158288.28</v>
      </c>
      <c r="H262" s="1">
        <v>73390.63</v>
      </c>
      <c r="I262" s="1">
        <v>739</v>
      </c>
      <c r="J262" s="1">
        <v>144</v>
      </c>
      <c r="K262" s="1">
        <v>50947</v>
      </c>
      <c r="L262" s="1" t="s">
        <v>30</v>
      </c>
      <c r="M262" s="1" t="s">
        <v>33</v>
      </c>
      <c r="N262" s="1">
        <v>3.1</v>
      </c>
    </row>
    <row r="263" spans="1:14" x14ac:dyDescent="0.3">
      <c r="A263" s="1" t="s">
        <v>554</v>
      </c>
      <c r="B263" s="1" t="s">
        <v>555</v>
      </c>
      <c r="C263" s="1">
        <v>21</v>
      </c>
      <c r="D263" s="1" t="s">
        <v>16</v>
      </c>
      <c r="E263" s="1" t="s">
        <v>24</v>
      </c>
      <c r="F263" s="1" t="s">
        <v>18</v>
      </c>
      <c r="G263" s="9">
        <v>1289742.8799999999</v>
      </c>
      <c r="H263" s="1">
        <v>417203.48</v>
      </c>
      <c r="I263" s="1">
        <v>461</v>
      </c>
      <c r="J263" s="1">
        <v>135</v>
      </c>
      <c r="K263" s="1">
        <v>150969</v>
      </c>
      <c r="L263" s="1" t="s">
        <v>19</v>
      </c>
      <c r="M263" s="1" t="s">
        <v>20</v>
      </c>
      <c r="N263" s="1">
        <v>4.0999999999999996</v>
      </c>
    </row>
    <row r="264" spans="1:14" x14ac:dyDescent="0.3">
      <c r="A264" s="1" t="s">
        <v>556</v>
      </c>
      <c r="B264" s="1" t="s">
        <v>557</v>
      </c>
      <c r="C264" s="1">
        <v>33</v>
      </c>
      <c r="D264" s="1" t="s">
        <v>16</v>
      </c>
      <c r="E264" s="1" t="s">
        <v>17</v>
      </c>
      <c r="F264" s="1" t="s">
        <v>39</v>
      </c>
      <c r="G264" s="9">
        <v>710288.06</v>
      </c>
      <c r="H264" s="1">
        <v>957448.69</v>
      </c>
      <c r="I264" s="1">
        <v>453</v>
      </c>
      <c r="J264" s="1">
        <v>96</v>
      </c>
      <c r="K264" s="1">
        <v>32053</v>
      </c>
      <c r="L264" s="1" t="s">
        <v>26</v>
      </c>
      <c r="M264" s="1" t="s">
        <v>20</v>
      </c>
      <c r="N264" s="1">
        <v>4.7</v>
      </c>
    </row>
    <row r="265" spans="1:14" x14ac:dyDescent="0.3">
      <c r="A265" s="1" t="s">
        <v>558</v>
      </c>
      <c r="B265" s="1" t="s">
        <v>559</v>
      </c>
      <c r="C265" s="1">
        <v>44</v>
      </c>
      <c r="D265" s="1" t="s">
        <v>16</v>
      </c>
      <c r="E265" s="1" t="s">
        <v>38</v>
      </c>
      <c r="F265" s="1" t="s">
        <v>39</v>
      </c>
      <c r="G265" s="9">
        <v>483303.03</v>
      </c>
      <c r="H265" s="1">
        <v>2064992.49</v>
      </c>
      <c r="I265" s="1">
        <v>885</v>
      </c>
      <c r="J265" s="1">
        <v>195</v>
      </c>
      <c r="K265" s="1">
        <v>208819</v>
      </c>
      <c r="L265" s="1" t="s">
        <v>19</v>
      </c>
      <c r="M265" s="1" t="s">
        <v>33</v>
      </c>
      <c r="N265" s="1">
        <v>1.5</v>
      </c>
    </row>
    <row r="266" spans="1:14" x14ac:dyDescent="0.3">
      <c r="A266" s="1" t="s">
        <v>560</v>
      </c>
      <c r="B266" s="1" t="s">
        <v>561</v>
      </c>
      <c r="C266" s="1">
        <v>22</v>
      </c>
      <c r="D266" s="1" t="s">
        <v>23</v>
      </c>
      <c r="E266" s="1" t="s">
        <v>76</v>
      </c>
      <c r="F266" s="1" t="s">
        <v>81</v>
      </c>
      <c r="G266" s="9">
        <v>700315.8</v>
      </c>
      <c r="H266" s="1">
        <v>705767.18</v>
      </c>
      <c r="I266" s="1">
        <v>618</v>
      </c>
      <c r="J266" s="1">
        <v>172</v>
      </c>
      <c r="K266" s="1">
        <v>249897</v>
      </c>
      <c r="L266" s="1" t="s">
        <v>40</v>
      </c>
      <c r="M266" s="1" t="s">
        <v>33</v>
      </c>
      <c r="N266" s="1">
        <v>1.3</v>
      </c>
    </row>
    <row r="267" spans="1:14" x14ac:dyDescent="0.3">
      <c r="A267" s="1" t="s">
        <v>562</v>
      </c>
      <c r="B267" s="1" t="s">
        <v>563</v>
      </c>
      <c r="C267" s="1">
        <v>54</v>
      </c>
      <c r="D267" s="1" t="s">
        <v>23</v>
      </c>
      <c r="E267" s="1" t="s">
        <v>24</v>
      </c>
      <c r="F267" s="1" t="s">
        <v>39</v>
      </c>
      <c r="G267" s="9">
        <v>459344.41</v>
      </c>
      <c r="H267" s="1">
        <v>1556793.81</v>
      </c>
      <c r="I267" s="1">
        <v>775</v>
      </c>
      <c r="J267" s="1">
        <v>193</v>
      </c>
      <c r="K267" s="1">
        <v>225653</v>
      </c>
      <c r="L267" s="1" t="s">
        <v>40</v>
      </c>
      <c r="M267" s="1" t="s">
        <v>20</v>
      </c>
      <c r="N267" s="1">
        <v>3.4</v>
      </c>
    </row>
    <row r="268" spans="1:14" x14ac:dyDescent="0.3">
      <c r="A268" s="1" t="s">
        <v>564</v>
      </c>
      <c r="B268" s="1" t="s">
        <v>565</v>
      </c>
      <c r="C268" s="1">
        <v>44</v>
      </c>
      <c r="D268" s="1" t="s">
        <v>23</v>
      </c>
      <c r="E268" s="1" t="s">
        <v>55</v>
      </c>
      <c r="F268" s="1" t="s">
        <v>18</v>
      </c>
      <c r="G268" s="9">
        <v>353331.62</v>
      </c>
      <c r="H268" s="1">
        <v>866059.24</v>
      </c>
      <c r="I268" s="1">
        <v>309</v>
      </c>
      <c r="J268" s="1">
        <v>491</v>
      </c>
      <c r="K268" s="1">
        <v>26267</v>
      </c>
      <c r="L268" s="1" t="s">
        <v>40</v>
      </c>
      <c r="M268" s="1" t="s">
        <v>20</v>
      </c>
      <c r="N268" s="1">
        <v>2.2999999999999998</v>
      </c>
    </row>
    <row r="269" spans="1:14" x14ac:dyDescent="0.3">
      <c r="A269" s="1" t="s">
        <v>566</v>
      </c>
      <c r="B269" s="1" t="s">
        <v>567</v>
      </c>
      <c r="C269" s="1">
        <v>44</v>
      </c>
      <c r="D269" s="1" t="s">
        <v>16</v>
      </c>
      <c r="E269" s="1" t="s">
        <v>24</v>
      </c>
      <c r="F269" s="1" t="s">
        <v>25</v>
      </c>
      <c r="G269" s="9">
        <v>1441971.67</v>
      </c>
      <c r="H269" s="1">
        <v>2431398.09</v>
      </c>
      <c r="I269" s="1">
        <v>445</v>
      </c>
      <c r="J269" s="1">
        <v>369</v>
      </c>
      <c r="K269" s="1">
        <v>148982</v>
      </c>
      <c r="L269" s="1" t="s">
        <v>26</v>
      </c>
      <c r="M269" s="1" t="s">
        <v>33</v>
      </c>
      <c r="N269" s="1">
        <v>2.1</v>
      </c>
    </row>
    <row r="270" spans="1:14" x14ac:dyDescent="0.3">
      <c r="A270" s="1" t="s">
        <v>568</v>
      </c>
      <c r="B270" s="1" t="s">
        <v>569</v>
      </c>
      <c r="C270" s="1">
        <v>65</v>
      </c>
      <c r="D270" s="1" t="s">
        <v>16</v>
      </c>
      <c r="E270" s="1" t="s">
        <v>17</v>
      </c>
      <c r="F270" s="1" t="s">
        <v>39</v>
      </c>
      <c r="G270" s="9">
        <v>873252.09</v>
      </c>
      <c r="H270" s="1">
        <v>1263569.4099999999</v>
      </c>
      <c r="I270" s="1">
        <v>703</v>
      </c>
      <c r="J270" s="1">
        <v>43</v>
      </c>
      <c r="K270" s="1">
        <v>42256</v>
      </c>
      <c r="L270" s="1" t="s">
        <v>40</v>
      </c>
      <c r="M270" s="1" t="s">
        <v>33</v>
      </c>
      <c r="N270" s="1">
        <v>3.4</v>
      </c>
    </row>
    <row r="271" spans="1:14" x14ac:dyDescent="0.3">
      <c r="A271" s="1" t="s">
        <v>570</v>
      </c>
      <c r="B271" s="1" t="s">
        <v>571</v>
      </c>
      <c r="C271" s="1">
        <v>34</v>
      </c>
      <c r="D271" s="1" t="s">
        <v>16</v>
      </c>
      <c r="E271" s="1" t="s">
        <v>29</v>
      </c>
      <c r="F271" s="1" t="s">
        <v>39</v>
      </c>
      <c r="G271" s="9">
        <v>475938.33</v>
      </c>
      <c r="H271" s="1">
        <v>2002042.05</v>
      </c>
      <c r="I271" s="1">
        <v>634</v>
      </c>
      <c r="J271" s="1">
        <v>167</v>
      </c>
      <c r="K271" s="1">
        <v>243061</v>
      </c>
      <c r="L271" s="1" t="s">
        <v>40</v>
      </c>
      <c r="M271" s="1" t="s">
        <v>20</v>
      </c>
      <c r="N271" s="1">
        <v>2.8</v>
      </c>
    </row>
    <row r="272" spans="1:14" x14ac:dyDescent="0.3">
      <c r="A272" s="1" t="s">
        <v>572</v>
      </c>
      <c r="B272" s="1" t="s">
        <v>573</v>
      </c>
      <c r="C272" s="1">
        <v>27</v>
      </c>
      <c r="D272" s="1" t="s">
        <v>16</v>
      </c>
      <c r="E272" s="1" t="s">
        <v>45</v>
      </c>
      <c r="F272" s="1" t="s">
        <v>81</v>
      </c>
      <c r="G272" s="9">
        <v>250740.6</v>
      </c>
      <c r="H272" s="1">
        <v>1165137.78</v>
      </c>
      <c r="I272" s="1">
        <v>716</v>
      </c>
      <c r="J272" s="1">
        <v>66</v>
      </c>
      <c r="K272" s="1">
        <v>47697</v>
      </c>
      <c r="L272" s="1" t="s">
        <v>30</v>
      </c>
      <c r="M272" s="1" t="s">
        <v>33</v>
      </c>
      <c r="N272" s="1">
        <v>3.1</v>
      </c>
    </row>
    <row r="273" spans="1:14" x14ac:dyDescent="0.3">
      <c r="A273" s="1" t="s">
        <v>574</v>
      </c>
      <c r="B273" s="1" t="s">
        <v>575</v>
      </c>
      <c r="C273" s="1">
        <v>25</v>
      </c>
      <c r="D273" s="1" t="s">
        <v>23</v>
      </c>
      <c r="E273" s="1" t="s">
        <v>38</v>
      </c>
      <c r="F273" s="1" t="s">
        <v>18</v>
      </c>
      <c r="G273" s="9">
        <v>240634.99</v>
      </c>
      <c r="H273" s="1">
        <v>1715137.11</v>
      </c>
      <c r="I273" s="1">
        <v>341</v>
      </c>
      <c r="J273" s="1">
        <v>115</v>
      </c>
      <c r="K273" s="1">
        <v>43703</v>
      </c>
      <c r="L273" s="1" t="s">
        <v>40</v>
      </c>
      <c r="M273" s="1" t="s">
        <v>33</v>
      </c>
      <c r="N273" s="1">
        <v>4.3</v>
      </c>
    </row>
    <row r="274" spans="1:14" x14ac:dyDescent="0.3">
      <c r="A274" s="1" t="s">
        <v>576</v>
      </c>
      <c r="B274" s="1" t="s">
        <v>577</v>
      </c>
      <c r="C274" s="1">
        <v>43</v>
      </c>
      <c r="D274" s="1" t="s">
        <v>23</v>
      </c>
      <c r="E274" s="1" t="s">
        <v>24</v>
      </c>
      <c r="F274" s="1" t="s">
        <v>18</v>
      </c>
      <c r="G274" s="9">
        <v>78181.17</v>
      </c>
      <c r="H274" s="1">
        <v>747101.78</v>
      </c>
      <c r="I274" s="1">
        <v>478</v>
      </c>
      <c r="J274" s="1">
        <v>20</v>
      </c>
      <c r="K274" s="1">
        <v>154600</v>
      </c>
      <c r="L274" s="1" t="s">
        <v>30</v>
      </c>
      <c r="M274" s="1" t="s">
        <v>20</v>
      </c>
      <c r="N274" s="1">
        <v>4.8</v>
      </c>
    </row>
    <row r="275" spans="1:14" x14ac:dyDescent="0.3">
      <c r="A275" s="1" t="s">
        <v>578</v>
      </c>
      <c r="B275" s="1" t="s">
        <v>579</v>
      </c>
      <c r="C275" s="1">
        <v>69</v>
      </c>
      <c r="D275" s="1" t="s">
        <v>23</v>
      </c>
      <c r="E275" s="1" t="s">
        <v>48</v>
      </c>
      <c r="F275" s="1" t="s">
        <v>18</v>
      </c>
      <c r="G275" s="9">
        <v>213990.59</v>
      </c>
      <c r="H275" s="1">
        <v>29892.31</v>
      </c>
      <c r="I275" s="1">
        <v>527</v>
      </c>
      <c r="J275" s="1">
        <v>71</v>
      </c>
      <c r="K275" s="1">
        <v>228092</v>
      </c>
      <c r="L275" s="1" t="s">
        <v>26</v>
      </c>
      <c r="M275" s="1" t="s">
        <v>20</v>
      </c>
      <c r="N275" s="1">
        <v>1.8</v>
      </c>
    </row>
    <row r="276" spans="1:14" x14ac:dyDescent="0.3">
      <c r="A276" s="1" t="s">
        <v>580</v>
      </c>
      <c r="B276" s="1" t="s">
        <v>581</v>
      </c>
      <c r="C276" s="1">
        <v>19</v>
      </c>
      <c r="D276" s="1" t="s">
        <v>23</v>
      </c>
      <c r="E276" s="1" t="s">
        <v>29</v>
      </c>
      <c r="F276" s="1" t="s">
        <v>18</v>
      </c>
      <c r="G276" s="9">
        <v>300636.75</v>
      </c>
      <c r="H276" s="1">
        <v>1614967.24</v>
      </c>
      <c r="I276" s="1">
        <v>431</v>
      </c>
      <c r="J276" s="1">
        <v>52</v>
      </c>
      <c r="K276" s="1">
        <v>36900</v>
      </c>
      <c r="L276" s="1" t="s">
        <v>30</v>
      </c>
      <c r="M276" s="1" t="s">
        <v>20</v>
      </c>
      <c r="N276" s="1">
        <v>4.5999999999999996</v>
      </c>
    </row>
    <row r="277" spans="1:14" x14ac:dyDescent="0.3">
      <c r="A277" s="1" t="s">
        <v>582</v>
      </c>
      <c r="B277" s="1" t="s">
        <v>583</v>
      </c>
      <c r="C277" s="1">
        <v>28</v>
      </c>
      <c r="D277" s="1" t="s">
        <v>23</v>
      </c>
      <c r="E277" s="1" t="s">
        <v>38</v>
      </c>
      <c r="F277" s="1" t="s">
        <v>81</v>
      </c>
      <c r="G277" s="9">
        <v>652568.78</v>
      </c>
      <c r="H277" s="1">
        <v>1811077.1200000001</v>
      </c>
      <c r="I277" s="1">
        <v>808</v>
      </c>
      <c r="J277" s="1">
        <v>20</v>
      </c>
      <c r="K277" s="1">
        <v>170440</v>
      </c>
      <c r="L277" s="1" t="s">
        <v>40</v>
      </c>
      <c r="M277" s="1" t="s">
        <v>20</v>
      </c>
      <c r="N277" s="1">
        <v>2.5</v>
      </c>
    </row>
    <row r="278" spans="1:14" x14ac:dyDescent="0.3">
      <c r="A278" s="1" t="s">
        <v>584</v>
      </c>
      <c r="B278" s="1" t="s">
        <v>585</v>
      </c>
      <c r="C278" s="1">
        <v>35</v>
      </c>
      <c r="D278" s="1" t="s">
        <v>23</v>
      </c>
      <c r="E278" s="1" t="s">
        <v>45</v>
      </c>
      <c r="F278" s="1" t="s">
        <v>18</v>
      </c>
      <c r="G278" s="9">
        <v>671787.09</v>
      </c>
      <c r="H278" s="1">
        <v>371578.52</v>
      </c>
      <c r="I278" s="1">
        <v>551</v>
      </c>
      <c r="J278" s="1">
        <v>336</v>
      </c>
      <c r="K278" s="1">
        <v>93362</v>
      </c>
      <c r="L278" s="1" t="s">
        <v>19</v>
      </c>
      <c r="M278" s="1" t="s">
        <v>33</v>
      </c>
      <c r="N278" s="1">
        <v>2.2000000000000002</v>
      </c>
    </row>
    <row r="279" spans="1:14" x14ac:dyDescent="0.3">
      <c r="A279" s="1" t="s">
        <v>586</v>
      </c>
      <c r="B279" s="1" t="s">
        <v>587</v>
      </c>
      <c r="C279" s="1">
        <v>42</v>
      </c>
      <c r="D279" s="1" t="s">
        <v>16</v>
      </c>
      <c r="E279" s="1" t="s">
        <v>17</v>
      </c>
      <c r="F279" s="1" t="s">
        <v>81</v>
      </c>
      <c r="G279" s="9">
        <v>631756.06000000006</v>
      </c>
      <c r="H279" s="1">
        <v>1606631.31</v>
      </c>
      <c r="I279" s="1">
        <v>838</v>
      </c>
      <c r="J279" s="1">
        <v>132</v>
      </c>
      <c r="K279" s="1">
        <v>55975</v>
      </c>
      <c r="L279" s="1" t="s">
        <v>30</v>
      </c>
      <c r="M279" s="1" t="s">
        <v>33</v>
      </c>
      <c r="N279" s="1">
        <v>3.5</v>
      </c>
    </row>
    <row r="280" spans="1:14" x14ac:dyDescent="0.3">
      <c r="A280" s="1" t="s">
        <v>588</v>
      </c>
      <c r="B280" s="1" t="s">
        <v>589</v>
      </c>
      <c r="C280" s="1">
        <v>40</v>
      </c>
      <c r="D280" s="1" t="s">
        <v>16</v>
      </c>
      <c r="E280" s="1" t="s">
        <v>76</v>
      </c>
      <c r="F280" s="1" t="s">
        <v>81</v>
      </c>
      <c r="G280" s="9">
        <v>756077.92</v>
      </c>
      <c r="H280" s="1">
        <v>970953.19</v>
      </c>
      <c r="I280" s="1">
        <v>484</v>
      </c>
      <c r="J280" s="1">
        <v>18</v>
      </c>
      <c r="K280" s="1">
        <v>168282</v>
      </c>
      <c r="L280" s="1" t="s">
        <v>19</v>
      </c>
      <c r="M280" s="1" t="s">
        <v>33</v>
      </c>
      <c r="N280" s="1">
        <v>2.2999999999999998</v>
      </c>
    </row>
    <row r="281" spans="1:14" x14ac:dyDescent="0.3">
      <c r="A281" s="1" t="s">
        <v>590</v>
      </c>
      <c r="B281" s="1" t="s">
        <v>591</v>
      </c>
      <c r="C281" s="1">
        <v>51</v>
      </c>
      <c r="D281" s="1" t="s">
        <v>16</v>
      </c>
      <c r="E281" s="1" t="s">
        <v>55</v>
      </c>
      <c r="F281" s="1" t="s">
        <v>18</v>
      </c>
      <c r="G281" s="9">
        <v>1151429.04</v>
      </c>
      <c r="H281" s="1">
        <v>2499014.37</v>
      </c>
      <c r="I281" s="1">
        <v>463</v>
      </c>
      <c r="J281" s="1">
        <v>56</v>
      </c>
      <c r="K281" s="1">
        <v>113698</v>
      </c>
      <c r="L281" s="1" t="s">
        <v>40</v>
      </c>
      <c r="M281" s="1" t="s">
        <v>33</v>
      </c>
      <c r="N281" s="1">
        <v>2</v>
      </c>
    </row>
    <row r="282" spans="1:14" x14ac:dyDescent="0.3">
      <c r="A282" s="1" t="s">
        <v>592</v>
      </c>
      <c r="B282" s="1" t="s">
        <v>593</v>
      </c>
      <c r="C282" s="1">
        <v>40</v>
      </c>
      <c r="D282" s="1" t="s">
        <v>23</v>
      </c>
      <c r="E282" s="1" t="s">
        <v>76</v>
      </c>
      <c r="F282" s="1" t="s">
        <v>81</v>
      </c>
      <c r="G282" s="9">
        <v>1487355.17</v>
      </c>
      <c r="H282" s="1">
        <v>434280.08</v>
      </c>
      <c r="I282" s="1">
        <v>542</v>
      </c>
      <c r="J282" s="1">
        <v>308</v>
      </c>
      <c r="K282" s="1">
        <v>239997</v>
      </c>
      <c r="L282" s="1" t="s">
        <v>40</v>
      </c>
      <c r="M282" s="1" t="s">
        <v>20</v>
      </c>
      <c r="N282" s="1">
        <v>2.2999999999999998</v>
      </c>
    </row>
    <row r="283" spans="1:14" x14ac:dyDescent="0.3">
      <c r="A283" s="1" t="s">
        <v>594</v>
      </c>
      <c r="B283" s="1" t="s">
        <v>595</v>
      </c>
      <c r="C283" s="1">
        <v>69</v>
      </c>
      <c r="D283" s="1" t="s">
        <v>16</v>
      </c>
      <c r="E283" s="1" t="s">
        <v>76</v>
      </c>
      <c r="F283" s="1" t="s">
        <v>25</v>
      </c>
      <c r="G283" s="9">
        <v>815476.28</v>
      </c>
      <c r="H283" s="1">
        <v>438891.92</v>
      </c>
      <c r="I283" s="1">
        <v>338</v>
      </c>
      <c r="J283" s="1">
        <v>51</v>
      </c>
      <c r="K283" s="1">
        <v>149034</v>
      </c>
      <c r="L283" s="1" t="s">
        <v>19</v>
      </c>
      <c r="M283" s="1" t="s">
        <v>33</v>
      </c>
      <c r="N283" s="1">
        <v>1.2</v>
      </c>
    </row>
    <row r="284" spans="1:14" x14ac:dyDescent="0.3">
      <c r="A284" s="1" t="s">
        <v>596</v>
      </c>
      <c r="B284" s="1" t="s">
        <v>597</v>
      </c>
      <c r="C284" s="1">
        <v>57</v>
      </c>
      <c r="D284" s="1" t="s">
        <v>23</v>
      </c>
      <c r="E284" s="1" t="s">
        <v>76</v>
      </c>
      <c r="F284" s="1" t="s">
        <v>18</v>
      </c>
      <c r="G284" s="9">
        <v>1210635.8899999999</v>
      </c>
      <c r="H284" s="1">
        <v>851897.61</v>
      </c>
      <c r="I284" s="1">
        <v>481</v>
      </c>
      <c r="J284" s="1">
        <v>475</v>
      </c>
      <c r="K284" s="1">
        <v>72812</v>
      </c>
      <c r="L284" s="1" t="s">
        <v>40</v>
      </c>
      <c r="M284" s="1" t="s">
        <v>20</v>
      </c>
      <c r="N284" s="1">
        <v>4.2</v>
      </c>
    </row>
    <row r="285" spans="1:14" x14ac:dyDescent="0.3">
      <c r="A285" s="1" t="s">
        <v>598</v>
      </c>
      <c r="B285" s="1" t="s">
        <v>599</v>
      </c>
      <c r="C285" s="1">
        <v>67</v>
      </c>
      <c r="D285" s="1" t="s">
        <v>23</v>
      </c>
      <c r="E285" s="1" t="s">
        <v>29</v>
      </c>
      <c r="F285" s="1" t="s">
        <v>81</v>
      </c>
      <c r="G285" s="9">
        <v>1270488.93</v>
      </c>
      <c r="H285" s="1">
        <v>2151673.67</v>
      </c>
      <c r="I285" s="1">
        <v>374</v>
      </c>
      <c r="J285" s="1">
        <v>196</v>
      </c>
      <c r="K285" s="1">
        <v>49077</v>
      </c>
      <c r="L285" s="1" t="s">
        <v>26</v>
      </c>
      <c r="M285" s="1" t="s">
        <v>33</v>
      </c>
      <c r="N285" s="1">
        <v>3.8</v>
      </c>
    </row>
    <row r="286" spans="1:14" x14ac:dyDescent="0.3">
      <c r="A286" s="1" t="s">
        <v>600</v>
      </c>
      <c r="B286" s="1" t="s">
        <v>601</v>
      </c>
      <c r="C286" s="1">
        <v>26</v>
      </c>
      <c r="D286" s="1" t="s">
        <v>23</v>
      </c>
      <c r="E286" s="1" t="s">
        <v>24</v>
      </c>
      <c r="F286" s="1" t="s">
        <v>39</v>
      </c>
      <c r="G286" s="9">
        <v>1099866.28</v>
      </c>
      <c r="H286" s="1">
        <v>1092170.96</v>
      </c>
      <c r="I286" s="1">
        <v>798</v>
      </c>
      <c r="J286" s="1">
        <v>337</v>
      </c>
      <c r="K286" s="1">
        <v>61288</v>
      </c>
      <c r="L286" s="1" t="s">
        <v>30</v>
      </c>
      <c r="M286" s="1" t="s">
        <v>33</v>
      </c>
      <c r="N286" s="1">
        <v>2.2999999999999998</v>
      </c>
    </row>
    <row r="287" spans="1:14" x14ac:dyDescent="0.3">
      <c r="A287" s="1" t="s">
        <v>602</v>
      </c>
      <c r="B287" s="1" t="s">
        <v>603</v>
      </c>
      <c r="C287" s="1">
        <v>64</v>
      </c>
      <c r="D287" s="1" t="s">
        <v>23</v>
      </c>
      <c r="E287" s="1" t="s">
        <v>76</v>
      </c>
      <c r="F287" s="1" t="s">
        <v>39</v>
      </c>
      <c r="G287" s="9">
        <v>445303.31</v>
      </c>
      <c r="H287" s="1">
        <v>444270.72</v>
      </c>
      <c r="I287" s="1">
        <v>301</v>
      </c>
      <c r="J287" s="1">
        <v>490</v>
      </c>
      <c r="K287" s="1">
        <v>200485</v>
      </c>
      <c r="L287" s="1" t="s">
        <v>26</v>
      </c>
      <c r="M287" s="1" t="s">
        <v>20</v>
      </c>
      <c r="N287" s="1">
        <v>3.8</v>
      </c>
    </row>
    <row r="288" spans="1:14" x14ac:dyDescent="0.3">
      <c r="A288" s="1" t="s">
        <v>604</v>
      </c>
      <c r="B288" s="1" t="s">
        <v>605</v>
      </c>
      <c r="C288" s="1">
        <v>58</v>
      </c>
      <c r="D288" s="1" t="s">
        <v>23</v>
      </c>
      <c r="E288" s="1" t="s">
        <v>48</v>
      </c>
      <c r="F288" s="1" t="s">
        <v>39</v>
      </c>
      <c r="G288" s="9">
        <v>160644.79999999999</v>
      </c>
      <c r="H288" s="1">
        <v>1240462.6399999999</v>
      </c>
      <c r="I288" s="1">
        <v>639</v>
      </c>
      <c r="J288" s="1">
        <v>386</v>
      </c>
      <c r="K288" s="1">
        <v>168255</v>
      </c>
      <c r="L288" s="1" t="s">
        <v>19</v>
      </c>
      <c r="M288" s="1" t="s">
        <v>33</v>
      </c>
      <c r="N288" s="1">
        <v>1.3</v>
      </c>
    </row>
    <row r="289" spans="1:14" x14ac:dyDescent="0.3">
      <c r="A289" s="1" t="s">
        <v>606</v>
      </c>
      <c r="B289" s="1" t="s">
        <v>607</v>
      </c>
      <c r="C289" s="1">
        <v>46</v>
      </c>
      <c r="D289" s="1" t="s">
        <v>16</v>
      </c>
      <c r="E289" s="1" t="s">
        <v>76</v>
      </c>
      <c r="F289" s="1" t="s">
        <v>18</v>
      </c>
      <c r="G289" s="9">
        <v>401492.6</v>
      </c>
      <c r="H289" s="1">
        <v>623852.16</v>
      </c>
      <c r="I289" s="1">
        <v>369</v>
      </c>
      <c r="J289" s="1">
        <v>184</v>
      </c>
      <c r="K289" s="1">
        <v>22987</v>
      </c>
      <c r="L289" s="1" t="s">
        <v>30</v>
      </c>
      <c r="M289" s="1" t="s">
        <v>33</v>
      </c>
      <c r="N289" s="1">
        <v>2</v>
      </c>
    </row>
    <row r="290" spans="1:14" x14ac:dyDescent="0.3">
      <c r="A290" s="1" t="s">
        <v>608</v>
      </c>
      <c r="B290" s="1" t="s">
        <v>609</v>
      </c>
      <c r="C290" s="1">
        <v>64</v>
      </c>
      <c r="D290" s="1" t="s">
        <v>23</v>
      </c>
      <c r="E290" s="1" t="s">
        <v>29</v>
      </c>
      <c r="F290" s="1" t="s">
        <v>25</v>
      </c>
      <c r="G290" s="9">
        <v>1453807.23</v>
      </c>
      <c r="H290" s="1">
        <v>2211379.9900000002</v>
      </c>
      <c r="I290" s="1">
        <v>804</v>
      </c>
      <c r="J290" s="1">
        <v>456</v>
      </c>
      <c r="K290" s="1">
        <v>130009</v>
      </c>
      <c r="L290" s="1" t="s">
        <v>40</v>
      </c>
      <c r="M290" s="1" t="s">
        <v>20</v>
      </c>
      <c r="N290" s="1">
        <v>2.5</v>
      </c>
    </row>
    <row r="291" spans="1:14" x14ac:dyDescent="0.3">
      <c r="A291" s="1" t="s">
        <v>610</v>
      </c>
      <c r="B291" s="1" t="s">
        <v>611</v>
      </c>
      <c r="C291" s="1">
        <v>46</v>
      </c>
      <c r="D291" s="1" t="s">
        <v>16</v>
      </c>
      <c r="E291" s="1" t="s">
        <v>29</v>
      </c>
      <c r="F291" s="1" t="s">
        <v>81</v>
      </c>
      <c r="G291" s="9">
        <v>1199795.8799999999</v>
      </c>
      <c r="H291" s="1">
        <v>83531.97</v>
      </c>
      <c r="I291" s="1">
        <v>320</v>
      </c>
      <c r="J291" s="1">
        <v>168</v>
      </c>
      <c r="K291" s="1">
        <v>39322</v>
      </c>
      <c r="L291" s="1" t="s">
        <v>40</v>
      </c>
      <c r="M291" s="1" t="s">
        <v>33</v>
      </c>
      <c r="N291" s="1">
        <v>2</v>
      </c>
    </row>
    <row r="292" spans="1:14" x14ac:dyDescent="0.3">
      <c r="A292" s="1" t="s">
        <v>612</v>
      </c>
      <c r="B292" s="1" t="s">
        <v>613</v>
      </c>
      <c r="C292" s="1">
        <v>28</v>
      </c>
      <c r="D292" s="1" t="s">
        <v>23</v>
      </c>
      <c r="E292" s="1" t="s">
        <v>76</v>
      </c>
      <c r="F292" s="1" t="s">
        <v>25</v>
      </c>
      <c r="G292" s="9">
        <v>117128.62</v>
      </c>
      <c r="H292" s="1">
        <v>2354585.36</v>
      </c>
      <c r="I292" s="1">
        <v>395</v>
      </c>
      <c r="J292" s="1">
        <v>178</v>
      </c>
      <c r="K292" s="1">
        <v>211885</v>
      </c>
      <c r="L292" s="1" t="s">
        <v>40</v>
      </c>
      <c r="M292" s="1" t="s">
        <v>33</v>
      </c>
      <c r="N292" s="1">
        <v>3.4</v>
      </c>
    </row>
    <row r="293" spans="1:14" x14ac:dyDescent="0.3">
      <c r="A293" s="1" t="s">
        <v>614</v>
      </c>
      <c r="B293" s="1" t="s">
        <v>615</v>
      </c>
      <c r="C293" s="1">
        <v>28</v>
      </c>
      <c r="D293" s="1" t="s">
        <v>23</v>
      </c>
      <c r="E293" s="1" t="s">
        <v>55</v>
      </c>
      <c r="F293" s="1" t="s">
        <v>81</v>
      </c>
      <c r="G293" s="9">
        <v>156380.43</v>
      </c>
      <c r="H293" s="1">
        <v>513876.19</v>
      </c>
      <c r="I293" s="1">
        <v>494</v>
      </c>
      <c r="J293" s="1">
        <v>214</v>
      </c>
      <c r="K293" s="1">
        <v>34039</v>
      </c>
      <c r="L293" s="1" t="s">
        <v>40</v>
      </c>
      <c r="M293" s="1" t="s">
        <v>20</v>
      </c>
      <c r="N293" s="1">
        <v>3.8</v>
      </c>
    </row>
    <row r="294" spans="1:14" x14ac:dyDescent="0.3">
      <c r="A294" s="1" t="s">
        <v>616</v>
      </c>
      <c r="B294" s="1" t="s">
        <v>617</v>
      </c>
      <c r="C294" s="1">
        <v>21</v>
      </c>
      <c r="D294" s="1" t="s">
        <v>23</v>
      </c>
      <c r="E294" s="1" t="s">
        <v>29</v>
      </c>
      <c r="F294" s="1" t="s">
        <v>81</v>
      </c>
      <c r="G294" s="9">
        <v>859795.86</v>
      </c>
      <c r="H294" s="1">
        <v>2099636.2599999998</v>
      </c>
      <c r="I294" s="1">
        <v>457</v>
      </c>
      <c r="J294" s="1">
        <v>32</v>
      </c>
      <c r="K294" s="1">
        <v>122996</v>
      </c>
      <c r="L294" s="1" t="s">
        <v>30</v>
      </c>
      <c r="M294" s="1" t="s">
        <v>20</v>
      </c>
      <c r="N294" s="1">
        <v>2.4</v>
      </c>
    </row>
    <row r="295" spans="1:14" x14ac:dyDescent="0.3">
      <c r="A295" s="1" t="s">
        <v>618</v>
      </c>
      <c r="B295" s="1" t="s">
        <v>619</v>
      </c>
      <c r="C295" s="1">
        <v>24</v>
      </c>
      <c r="D295" s="1" t="s">
        <v>23</v>
      </c>
      <c r="E295" s="1" t="s">
        <v>17</v>
      </c>
      <c r="F295" s="1" t="s">
        <v>25</v>
      </c>
      <c r="G295" s="9">
        <v>314394.71000000002</v>
      </c>
      <c r="H295" s="1">
        <v>1595476.65</v>
      </c>
      <c r="I295" s="1">
        <v>383</v>
      </c>
      <c r="J295" s="1">
        <v>247</v>
      </c>
      <c r="K295" s="1">
        <v>26746</v>
      </c>
      <c r="L295" s="1" t="s">
        <v>30</v>
      </c>
      <c r="M295" s="1" t="s">
        <v>33</v>
      </c>
      <c r="N295" s="1">
        <v>4.4000000000000004</v>
      </c>
    </row>
    <row r="296" spans="1:14" x14ac:dyDescent="0.3">
      <c r="A296" s="1" t="s">
        <v>620</v>
      </c>
      <c r="B296" s="1" t="s">
        <v>621</v>
      </c>
      <c r="C296" s="1">
        <v>23</v>
      </c>
      <c r="D296" s="1" t="s">
        <v>16</v>
      </c>
      <c r="E296" s="1" t="s">
        <v>55</v>
      </c>
      <c r="F296" s="1" t="s">
        <v>25</v>
      </c>
      <c r="G296" s="9">
        <v>818468.41</v>
      </c>
      <c r="H296" s="1">
        <v>462203.05</v>
      </c>
      <c r="I296" s="1">
        <v>690</v>
      </c>
      <c r="J296" s="1">
        <v>194</v>
      </c>
      <c r="K296" s="1">
        <v>188261</v>
      </c>
      <c r="L296" s="1" t="s">
        <v>30</v>
      </c>
      <c r="M296" s="1" t="s">
        <v>33</v>
      </c>
      <c r="N296" s="1">
        <v>1.7</v>
      </c>
    </row>
    <row r="297" spans="1:14" x14ac:dyDescent="0.3">
      <c r="A297" s="1" t="s">
        <v>622</v>
      </c>
      <c r="B297" s="1" t="s">
        <v>623</v>
      </c>
      <c r="C297" s="1">
        <v>32</v>
      </c>
      <c r="D297" s="1" t="s">
        <v>23</v>
      </c>
      <c r="E297" s="1" t="s">
        <v>24</v>
      </c>
      <c r="F297" s="1" t="s">
        <v>18</v>
      </c>
      <c r="G297" s="9">
        <v>406500.18</v>
      </c>
      <c r="H297" s="1">
        <v>154098.42000000001</v>
      </c>
      <c r="I297" s="1">
        <v>399</v>
      </c>
      <c r="J297" s="1">
        <v>48</v>
      </c>
      <c r="K297" s="1">
        <v>239435</v>
      </c>
      <c r="L297" s="1" t="s">
        <v>30</v>
      </c>
      <c r="M297" s="1" t="s">
        <v>33</v>
      </c>
      <c r="N297" s="1">
        <v>3.7</v>
      </c>
    </row>
    <row r="298" spans="1:14" x14ac:dyDescent="0.3">
      <c r="A298" s="1" t="s">
        <v>624</v>
      </c>
      <c r="B298" s="1" t="s">
        <v>625</v>
      </c>
      <c r="C298" s="1">
        <v>52</v>
      </c>
      <c r="D298" s="1" t="s">
        <v>23</v>
      </c>
      <c r="E298" s="1" t="s">
        <v>76</v>
      </c>
      <c r="F298" s="1" t="s">
        <v>39</v>
      </c>
      <c r="G298" s="9">
        <v>1301006.55</v>
      </c>
      <c r="H298" s="1">
        <v>1187060.97</v>
      </c>
      <c r="I298" s="1">
        <v>541</v>
      </c>
      <c r="J298" s="1">
        <v>248</v>
      </c>
      <c r="K298" s="1">
        <v>200110</v>
      </c>
      <c r="L298" s="1" t="s">
        <v>19</v>
      </c>
      <c r="M298" s="1" t="s">
        <v>33</v>
      </c>
      <c r="N298" s="1">
        <v>2.2000000000000002</v>
      </c>
    </row>
    <row r="299" spans="1:14" x14ac:dyDescent="0.3">
      <c r="A299" s="1" t="s">
        <v>626</v>
      </c>
      <c r="B299" s="1" t="s">
        <v>627</v>
      </c>
      <c r="C299" s="1">
        <v>29</v>
      </c>
      <c r="D299" s="1" t="s">
        <v>23</v>
      </c>
      <c r="E299" s="1" t="s">
        <v>24</v>
      </c>
      <c r="F299" s="1" t="s">
        <v>39</v>
      </c>
      <c r="G299" s="9">
        <v>1458386.49</v>
      </c>
      <c r="H299" s="1">
        <v>2021151.8</v>
      </c>
      <c r="I299" s="1">
        <v>429</v>
      </c>
      <c r="J299" s="1">
        <v>26</v>
      </c>
      <c r="K299" s="1">
        <v>63821</v>
      </c>
      <c r="L299" s="1" t="s">
        <v>26</v>
      </c>
      <c r="M299" s="1" t="s">
        <v>33</v>
      </c>
      <c r="N299" s="1">
        <v>2.7</v>
      </c>
    </row>
    <row r="300" spans="1:14" x14ac:dyDescent="0.3">
      <c r="A300" s="1" t="s">
        <v>628</v>
      </c>
      <c r="B300" s="1" t="s">
        <v>629</v>
      </c>
      <c r="C300" s="1">
        <v>64</v>
      </c>
      <c r="D300" s="1" t="s">
        <v>23</v>
      </c>
      <c r="E300" s="1" t="s">
        <v>45</v>
      </c>
      <c r="F300" s="1" t="s">
        <v>18</v>
      </c>
      <c r="G300" s="9">
        <v>105182.87</v>
      </c>
      <c r="H300" s="1">
        <v>970247.88</v>
      </c>
      <c r="I300" s="1">
        <v>706</v>
      </c>
      <c r="J300" s="1">
        <v>287</v>
      </c>
      <c r="K300" s="1">
        <v>231640</v>
      </c>
      <c r="L300" s="1" t="s">
        <v>30</v>
      </c>
      <c r="M300" s="1" t="s">
        <v>20</v>
      </c>
      <c r="N300" s="1">
        <v>2.2999999999999998</v>
      </c>
    </row>
    <row r="301" spans="1:14" x14ac:dyDescent="0.3">
      <c r="A301" s="1" t="s">
        <v>630</v>
      </c>
      <c r="B301" s="1" t="s">
        <v>631</v>
      </c>
      <c r="C301" s="1">
        <v>44</v>
      </c>
      <c r="D301" s="1" t="s">
        <v>16</v>
      </c>
      <c r="E301" s="1" t="s">
        <v>55</v>
      </c>
      <c r="F301" s="1" t="s">
        <v>81</v>
      </c>
      <c r="G301" s="9">
        <v>226558.61</v>
      </c>
      <c r="H301" s="1">
        <v>1469835.33</v>
      </c>
      <c r="I301" s="1">
        <v>402</v>
      </c>
      <c r="J301" s="1">
        <v>478</v>
      </c>
      <c r="K301" s="1">
        <v>59227</v>
      </c>
      <c r="L301" s="1" t="s">
        <v>30</v>
      </c>
      <c r="M301" s="1" t="s">
        <v>33</v>
      </c>
      <c r="N301" s="1">
        <v>1.4</v>
      </c>
    </row>
    <row r="302" spans="1:14" x14ac:dyDescent="0.3">
      <c r="A302" s="1" t="s">
        <v>632</v>
      </c>
      <c r="B302" s="1" t="s">
        <v>633</v>
      </c>
      <c r="C302" s="1">
        <v>42</v>
      </c>
      <c r="D302" s="1" t="s">
        <v>16</v>
      </c>
      <c r="E302" s="1" t="s">
        <v>17</v>
      </c>
      <c r="F302" s="1" t="s">
        <v>18</v>
      </c>
      <c r="G302" s="9">
        <v>730949.26</v>
      </c>
      <c r="H302" s="1">
        <v>1522405.38</v>
      </c>
      <c r="I302" s="1">
        <v>338</v>
      </c>
      <c r="J302" s="1">
        <v>93</v>
      </c>
      <c r="K302" s="1">
        <v>191648</v>
      </c>
      <c r="L302" s="1" t="s">
        <v>30</v>
      </c>
      <c r="M302" s="1" t="s">
        <v>33</v>
      </c>
      <c r="N302" s="1">
        <v>2.1</v>
      </c>
    </row>
    <row r="303" spans="1:14" x14ac:dyDescent="0.3">
      <c r="A303" s="1" t="s">
        <v>634</v>
      </c>
      <c r="B303" s="1" t="s">
        <v>635</v>
      </c>
      <c r="C303" s="1">
        <v>62</v>
      </c>
      <c r="D303" s="1" t="s">
        <v>23</v>
      </c>
      <c r="E303" s="1" t="s">
        <v>55</v>
      </c>
      <c r="F303" s="1" t="s">
        <v>81</v>
      </c>
      <c r="G303" s="9">
        <v>78690.009999999995</v>
      </c>
      <c r="H303" s="1">
        <v>1188045.48</v>
      </c>
      <c r="I303" s="1">
        <v>575</v>
      </c>
      <c r="J303" s="1">
        <v>464</v>
      </c>
      <c r="K303" s="1">
        <v>82279</v>
      </c>
      <c r="L303" s="1" t="s">
        <v>26</v>
      </c>
      <c r="M303" s="1" t="s">
        <v>33</v>
      </c>
      <c r="N303" s="1">
        <v>2.5</v>
      </c>
    </row>
    <row r="304" spans="1:14" x14ac:dyDescent="0.3">
      <c r="A304" s="1" t="s">
        <v>636</v>
      </c>
      <c r="B304" s="1" t="s">
        <v>637</v>
      </c>
      <c r="C304" s="1">
        <v>62</v>
      </c>
      <c r="D304" s="1" t="s">
        <v>23</v>
      </c>
      <c r="E304" s="1" t="s">
        <v>48</v>
      </c>
      <c r="F304" s="1" t="s">
        <v>81</v>
      </c>
      <c r="G304" s="9">
        <v>151835</v>
      </c>
      <c r="H304" s="1">
        <v>2172250.06</v>
      </c>
      <c r="I304" s="1">
        <v>437</v>
      </c>
      <c r="J304" s="1">
        <v>158</v>
      </c>
      <c r="K304" s="1">
        <v>199529</v>
      </c>
      <c r="L304" s="1" t="s">
        <v>30</v>
      </c>
      <c r="M304" s="1" t="s">
        <v>20</v>
      </c>
      <c r="N304" s="1">
        <v>4.9000000000000004</v>
      </c>
    </row>
    <row r="305" spans="1:14" x14ac:dyDescent="0.3">
      <c r="A305" s="1" t="s">
        <v>638</v>
      </c>
      <c r="B305" s="1" t="s">
        <v>639</v>
      </c>
      <c r="C305" s="1">
        <v>30</v>
      </c>
      <c r="D305" s="1" t="s">
        <v>23</v>
      </c>
      <c r="E305" s="1" t="s">
        <v>76</v>
      </c>
      <c r="F305" s="1" t="s">
        <v>39</v>
      </c>
      <c r="G305" s="9">
        <v>321028.8</v>
      </c>
      <c r="H305" s="1">
        <v>2059923.59</v>
      </c>
      <c r="I305" s="1">
        <v>796</v>
      </c>
      <c r="J305" s="1">
        <v>393</v>
      </c>
      <c r="K305" s="1">
        <v>135793</v>
      </c>
      <c r="L305" s="1" t="s">
        <v>19</v>
      </c>
      <c r="M305" s="1" t="s">
        <v>33</v>
      </c>
      <c r="N305" s="1">
        <v>3.1</v>
      </c>
    </row>
    <row r="306" spans="1:14" x14ac:dyDescent="0.3">
      <c r="A306" s="1" t="s">
        <v>640</v>
      </c>
      <c r="B306" s="1" t="s">
        <v>641</v>
      </c>
      <c r="C306" s="1">
        <v>63</v>
      </c>
      <c r="D306" s="1" t="s">
        <v>16</v>
      </c>
      <c r="E306" s="1" t="s">
        <v>24</v>
      </c>
      <c r="F306" s="1" t="s">
        <v>39</v>
      </c>
      <c r="G306" s="9">
        <v>608060.79</v>
      </c>
      <c r="H306" s="1">
        <v>1951291.07</v>
      </c>
      <c r="I306" s="1">
        <v>836</v>
      </c>
      <c r="J306" s="1">
        <v>455</v>
      </c>
      <c r="K306" s="1">
        <v>152853</v>
      </c>
      <c r="L306" s="1" t="s">
        <v>19</v>
      </c>
      <c r="M306" s="1" t="s">
        <v>20</v>
      </c>
      <c r="N306" s="1">
        <v>3.3</v>
      </c>
    </row>
    <row r="307" spans="1:14" x14ac:dyDescent="0.3">
      <c r="A307" s="1" t="s">
        <v>642</v>
      </c>
      <c r="B307" s="1" t="s">
        <v>643</v>
      </c>
      <c r="C307" s="1">
        <v>20</v>
      </c>
      <c r="D307" s="1" t="s">
        <v>23</v>
      </c>
      <c r="E307" s="1" t="s">
        <v>17</v>
      </c>
      <c r="F307" s="1" t="s">
        <v>18</v>
      </c>
      <c r="G307" s="9">
        <v>80586.13</v>
      </c>
      <c r="H307" s="1">
        <v>900937.7</v>
      </c>
      <c r="I307" s="1">
        <v>503</v>
      </c>
      <c r="J307" s="1">
        <v>145</v>
      </c>
      <c r="K307" s="1">
        <v>139655</v>
      </c>
      <c r="L307" s="1" t="s">
        <v>19</v>
      </c>
      <c r="M307" s="1" t="s">
        <v>20</v>
      </c>
      <c r="N307" s="1">
        <v>2.5</v>
      </c>
    </row>
    <row r="308" spans="1:14" x14ac:dyDescent="0.3">
      <c r="A308" s="1" t="s">
        <v>644</v>
      </c>
      <c r="B308" s="1" t="s">
        <v>645</v>
      </c>
      <c r="C308" s="1">
        <v>41</v>
      </c>
      <c r="D308" s="1" t="s">
        <v>23</v>
      </c>
      <c r="E308" s="1" t="s">
        <v>38</v>
      </c>
      <c r="F308" s="1" t="s">
        <v>81</v>
      </c>
      <c r="G308" s="9">
        <v>893095.17</v>
      </c>
      <c r="H308" s="1">
        <v>443959.24</v>
      </c>
      <c r="I308" s="1">
        <v>785</v>
      </c>
      <c r="J308" s="1">
        <v>305</v>
      </c>
      <c r="K308" s="1">
        <v>148132</v>
      </c>
      <c r="L308" s="1" t="s">
        <v>19</v>
      </c>
      <c r="M308" s="1" t="s">
        <v>33</v>
      </c>
      <c r="N308" s="1">
        <v>3.2</v>
      </c>
    </row>
    <row r="309" spans="1:14" x14ac:dyDescent="0.3">
      <c r="A309" s="1" t="s">
        <v>646</v>
      </c>
      <c r="B309" s="1" t="s">
        <v>647</v>
      </c>
      <c r="C309" s="1">
        <v>19</v>
      </c>
      <c r="D309" s="1" t="s">
        <v>16</v>
      </c>
      <c r="E309" s="1" t="s">
        <v>24</v>
      </c>
      <c r="F309" s="1" t="s">
        <v>81</v>
      </c>
      <c r="G309" s="9">
        <v>79228.31</v>
      </c>
      <c r="H309" s="1">
        <v>2134553.3199999998</v>
      </c>
      <c r="I309" s="1">
        <v>519</v>
      </c>
      <c r="J309" s="1">
        <v>443</v>
      </c>
      <c r="K309" s="1">
        <v>121335</v>
      </c>
      <c r="L309" s="1" t="s">
        <v>30</v>
      </c>
      <c r="M309" s="1" t="s">
        <v>20</v>
      </c>
      <c r="N309" s="1">
        <v>1.9</v>
      </c>
    </row>
    <row r="310" spans="1:14" x14ac:dyDescent="0.3">
      <c r="A310" s="1" t="s">
        <v>648</v>
      </c>
      <c r="B310" s="1" t="s">
        <v>649</v>
      </c>
      <c r="C310" s="1">
        <v>67</v>
      </c>
      <c r="D310" s="1" t="s">
        <v>16</v>
      </c>
      <c r="E310" s="1" t="s">
        <v>24</v>
      </c>
      <c r="F310" s="1" t="s">
        <v>81</v>
      </c>
      <c r="G310" s="9">
        <v>1024888.6</v>
      </c>
      <c r="H310" s="1">
        <v>1185243.02</v>
      </c>
      <c r="I310" s="1">
        <v>435</v>
      </c>
      <c r="J310" s="1">
        <v>336</v>
      </c>
      <c r="K310" s="1">
        <v>221214</v>
      </c>
      <c r="L310" s="1" t="s">
        <v>26</v>
      </c>
      <c r="M310" s="1" t="s">
        <v>33</v>
      </c>
      <c r="N310" s="1">
        <v>1.7</v>
      </c>
    </row>
    <row r="311" spans="1:14" x14ac:dyDescent="0.3">
      <c r="A311" s="1" t="s">
        <v>650</v>
      </c>
      <c r="B311" s="1" t="s">
        <v>651</v>
      </c>
      <c r="C311" s="1">
        <v>45</v>
      </c>
      <c r="D311" s="1" t="s">
        <v>23</v>
      </c>
      <c r="E311" s="1" t="s">
        <v>29</v>
      </c>
      <c r="F311" s="1" t="s">
        <v>18</v>
      </c>
      <c r="G311" s="9">
        <v>1278121.33</v>
      </c>
      <c r="H311" s="1">
        <v>1147495.05</v>
      </c>
      <c r="I311" s="1">
        <v>523</v>
      </c>
      <c r="J311" s="1">
        <v>243</v>
      </c>
      <c r="K311" s="1">
        <v>118690</v>
      </c>
      <c r="L311" s="1" t="s">
        <v>26</v>
      </c>
      <c r="M311" s="1" t="s">
        <v>33</v>
      </c>
      <c r="N311" s="1">
        <v>2.2000000000000002</v>
      </c>
    </row>
    <row r="312" spans="1:14" x14ac:dyDescent="0.3">
      <c r="A312" s="1" t="s">
        <v>652</v>
      </c>
      <c r="B312" s="1" t="s">
        <v>653</v>
      </c>
      <c r="C312" s="1">
        <v>37</v>
      </c>
      <c r="D312" s="1" t="s">
        <v>23</v>
      </c>
      <c r="E312" s="1" t="s">
        <v>55</v>
      </c>
      <c r="F312" s="1" t="s">
        <v>81</v>
      </c>
      <c r="G312" s="9">
        <v>166616.26999999999</v>
      </c>
      <c r="H312" s="1">
        <v>159592.63</v>
      </c>
      <c r="I312" s="1">
        <v>583</v>
      </c>
      <c r="J312" s="1">
        <v>332</v>
      </c>
      <c r="K312" s="1">
        <v>199414</v>
      </c>
      <c r="L312" s="1" t="s">
        <v>40</v>
      </c>
      <c r="M312" s="1" t="s">
        <v>20</v>
      </c>
      <c r="N312" s="1">
        <v>2.2999999999999998</v>
      </c>
    </row>
    <row r="313" spans="1:14" x14ac:dyDescent="0.3">
      <c r="A313" s="1" t="s">
        <v>654</v>
      </c>
      <c r="B313" s="1" t="s">
        <v>655</v>
      </c>
      <c r="C313" s="1">
        <v>51</v>
      </c>
      <c r="D313" s="1" t="s">
        <v>16</v>
      </c>
      <c r="E313" s="1" t="s">
        <v>76</v>
      </c>
      <c r="F313" s="1" t="s">
        <v>25</v>
      </c>
      <c r="G313" s="9">
        <v>364251.61</v>
      </c>
      <c r="H313" s="1">
        <v>141936.69</v>
      </c>
      <c r="I313" s="1">
        <v>713</v>
      </c>
      <c r="J313" s="1">
        <v>343</v>
      </c>
      <c r="K313" s="1">
        <v>220664</v>
      </c>
      <c r="L313" s="1" t="s">
        <v>26</v>
      </c>
      <c r="M313" s="1" t="s">
        <v>33</v>
      </c>
      <c r="N313" s="1">
        <v>2.2999999999999998</v>
      </c>
    </row>
    <row r="314" spans="1:14" x14ac:dyDescent="0.3">
      <c r="A314" s="1" t="s">
        <v>656</v>
      </c>
      <c r="B314" s="1" t="s">
        <v>657</v>
      </c>
      <c r="C314" s="1">
        <v>44</v>
      </c>
      <c r="D314" s="1" t="s">
        <v>16</v>
      </c>
      <c r="E314" s="1" t="s">
        <v>45</v>
      </c>
      <c r="F314" s="1" t="s">
        <v>81</v>
      </c>
      <c r="G314" s="9">
        <v>585471.01</v>
      </c>
      <c r="H314" s="1">
        <v>88297.51</v>
      </c>
      <c r="I314" s="1">
        <v>885</v>
      </c>
      <c r="J314" s="1">
        <v>422</v>
      </c>
      <c r="K314" s="1">
        <v>126063</v>
      </c>
      <c r="L314" s="1" t="s">
        <v>26</v>
      </c>
      <c r="M314" s="1" t="s">
        <v>20</v>
      </c>
      <c r="N314" s="1">
        <v>1.8</v>
      </c>
    </row>
    <row r="315" spans="1:14" x14ac:dyDescent="0.3">
      <c r="A315" s="1" t="s">
        <v>658</v>
      </c>
      <c r="B315" s="1" t="s">
        <v>659</v>
      </c>
      <c r="C315" s="1">
        <v>60</v>
      </c>
      <c r="D315" s="1" t="s">
        <v>16</v>
      </c>
      <c r="E315" s="1" t="s">
        <v>48</v>
      </c>
      <c r="F315" s="1" t="s">
        <v>18</v>
      </c>
      <c r="G315" s="9">
        <v>839580.83</v>
      </c>
      <c r="H315" s="1">
        <v>734460.13</v>
      </c>
      <c r="I315" s="1">
        <v>782</v>
      </c>
      <c r="J315" s="1">
        <v>70</v>
      </c>
      <c r="K315" s="1">
        <v>249767</v>
      </c>
      <c r="L315" s="1" t="s">
        <v>40</v>
      </c>
      <c r="M315" s="1" t="s">
        <v>33</v>
      </c>
      <c r="N315" s="1">
        <v>4</v>
      </c>
    </row>
    <row r="316" spans="1:14" x14ac:dyDescent="0.3">
      <c r="A316" s="1" t="s">
        <v>660</v>
      </c>
      <c r="B316" s="1" t="s">
        <v>661</v>
      </c>
      <c r="C316" s="1">
        <v>32</v>
      </c>
      <c r="D316" s="1" t="s">
        <v>23</v>
      </c>
      <c r="E316" s="1" t="s">
        <v>45</v>
      </c>
      <c r="F316" s="1" t="s">
        <v>18</v>
      </c>
      <c r="G316" s="9">
        <v>1307791.19</v>
      </c>
      <c r="H316" s="1">
        <v>1051181.42</v>
      </c>
      <c r="I316" s="1">
        <v>639</v>
      </c>
      <c r="J316" s="1">
        <v>195</v>
      </c>
      <c r="K316" s="1">
        <v>215090</v>
      </c>
      <c r="L316" s="1" t="s">
        <v>30</v>
      </c>
      <c r="M316" s="1" t="s">
        <v>20</v>
      </c>
      <c r="N316" s="1">
        <v>2</v>
      </c>
    </row>
    <row r="317" spans="1:14" x14ac:dyDescent="0.3">
      <c r="A317" s="1" t="s">
        <v>662</v>
      </c>
      <c r="B317" s="1" t="s">
        <v>663</v>
      </c>
      <c r="C317" s="1">
        <v>58</v>
      </c>
      <c r="D317" s="1" t="s">
        <v>16</v>
      </c>
      <c r="E317" s="1" t="s">
        <v>17</v>
      </c>
      <c r="F317" s="1" t="s">
        <v>81</v>
      </c>
      <c r="G317" s="9">
        <v>872568.1</v>
      </c>
      <c r="H317" s="1">
        <v>1551636.74</v>
      </c>
      <c r="I317" s="1">
        <v>783</v>
      </c>
      <c r="J317" s="1">
        <v>460</v>
      </c>
      <c r="K317" s="1">
        <v>172980</v>
      </c>
      <c r="L317" s="1" t="s">
        <v>30</v>
      </c>
      <c r="M317" s="1" t="s">
        <v>20</v>
      </c>
      <c r="N317" s="1">
        <v>1.8</v>
      </c>
    </row>
    <row r="318" spans="1:14" x14ac:dyDescent="0.3">
      <c r="A318" s="1" t="s">
        <v>664</v>
      </c>
      <c r="B318" s="1" t="s">
        <v>665</v>
      </c>
      <c r="C318" s="1">
        <v>27</v>
      </c>
      <c r="D318" s="1" t="s">
        <v>23</v>
      </c>
      <c r="E318" s="1" t="s">
        <v>38</v>
      </c>
      <c r="F318" s="1" t="s">
        <v>81</v>
      </c>
      <c r="G318" s="9">
        <v>1488560.04</v>
      </c>
      <c r="H318" s="1">
        <v>856674.71</v>
      </c>
      <c r="I318" s="1">
        <v>883</v>
      </c>
      <c r="J318" s="1">
        <v>462</v>
      </c>
      <c r="K318" s="1">
        <v>56009</v>
      </c>
      <c r="L318" s="1" t="s">
        <v>40</v>
      </c>
      <c r="M318" s="1" t="s">
        <v>20</v>
      </c>
      <c r="N318" s="1">
        <v>4.5999999999999996</v>
      </c>
    </row>
    <row r="319" spans="1:14" x14ac:dyDescent="0.3">
      <c r="A319" s="1" t="s">
        <v>666</v>
      </c>
      <c r="B319" s="1" t="s">
        <v>667</v>
      </c>
      <c r="C319" s="1">
        <v>49</v>
      </c>
      <c r="D319" s="1" t="s">
        <v>16</v>
      </c>
      <c r="E319" s="1" t="s">
        <v>38</v>
      </c>
      <c r="F319" s="1" t="s">
        <v>39</v>
      </c>
      <c r="G319" s="9">
        <v>948393.99</v>
      </c>
      <c r="H319" s="1">
        <v>442060.67</v>
      </c>
      <c r="I319" s="1">
        <v>359</v>
      </c>
      <c r="J319" s="1">
        <v>7</v>
      </c>
      <c r="K319" s="1">
        <v>107196</v>
      </c>
      <c r="L319" s="1" t="s">
        <v>30</v>
      </c>
      <c r="M319" s="1" t="s">
        <v>20</v>
      </c>
      <c r="N319" s="1">
        <v>2.8</v>
      </c>
    </row>
    <row r="320" spans="1:14" x14ac:dyDescent="0.3">
      <c r="A320" s="1" t="s">
        <v>668</v>
      </c>
      <c r="B320" s="1" t="s">
        <v>669</v>
      </c>
      <c r="C320" s="1">
        <v>26</v>
      </c>
      <c r="D320" s="1" t="s">
        <v>16</v>
      </c>
      <c r="E320" s="1" t="s">
        <v>76</v>
      </c>
      <c r="F320" s="1" t="s">
        <v>39</v>
      </c>
      <c r="G320" s="9">
        <v>653398.56000000006</v>
      </c>
      <c r="H320" s="1">
        <v>1073524.31</v>
      </c>
      <c r="I320" s="1">
        <v>739</v>
      </c>
      <c r="J320" s="1">
        <v>499</v>
      </c>
      <c r="K320" s="1">
        <v>181082</v>
      </c>
      <c r="L320" s="1" t="s">
        <v>26</v>
      </c>
      <c r="M320" s="1" t="s">
        <v>20</v>
      </c>
      <c r="N320" s="1">
        <v>2.9</v>
      </c>
    </row>
    <row r="321" spans="1:14" x14ac:dyDescent="0.3">
      <c r="A321" s="1" t="s">
        <v>670</v>
      </c>
      <c r="B321" s="1" t="s">
        <v>671</v>
      </c>
      <c r="C321" s="1">
        <v>38</v>
      </c>
      <c r="D321" s="1" t="s">
        <v>16</v>
      </c>
      <c r="E321" s="1" t="s">
        <v>48</v>
      </c>
      <c r="F321" s="1" t="s">
        <v>81</v>
      </c>
      <c r="G321" s="9">
        <v>1250676.8600000001</v>
      </c>
      <c r="H321" s="1">
        <v>476441.77</v>
      </c>
      <c r="I321" s="1">
        <v>304</v>
      </c>
      <c r="J321" s="1">
        <v>325</v>
      </c>
      <c r="K321" s="1">
        <v>218403</v>
      </c>
      <c r="L321" s="1" t="s">
        <v>40</v>
      </c>
      <c r="M321" s="1" t="s">
        <v>20</v>
      </c>
      <c r="N321" s="1">
        <v>3.9</v>
      </c>
    </row>
    <row r="322" spans="1:14" x14ac:dyDescent="0.3">
      <c r="A322" s="1" t="s">
        <v>672</v>
      </c>
      <c r="B322" s="1" t="s">
        <v>673</v>
      </c>
      <c r="C322" s="1">
        <v>42</v>
      </c>
      <c r="D322" s="1" t="s">
        <v>23</v>
      </c>
      <c r="E322" s="1" t="s">
        <v>48</v>
      </c>
      <c r="F322" s="1" t="s">
        <v>25</v>
      </c>
      <c r="G322" s="9">
        <v>885062.68</v>
      </c>
      <c r="H322" s="1">
        <v>417550.47</v>
      </c>
      <c r="I322" s="1">
        <v>346</v>
      </c>
      <c r="J322" s="1">
        <v>157</v>
      </c>
      <c r="K322" s="1">
        <v>151946</v>
      </c>
      <c r="L322" s="1" t="s">
        <v>40</v>
      </c>
      <c r="M322" s="1" t="s">
        <v>33</v>
      </c>
      <c r="N322" s="1">
        <v>4.8</v>
      </c>
    </row>
    <row r="323" spans="1:14" x14ac:dyDescent="0.3">
      <c r="A323" s="1" t="s">
        <v>674</v>
      </c>
      <c r="B323" s="1" t="s">
        <v>675</v>
      </c>
      <c r="C323" s="1">
        <v>49</v>
      </c>
      <c r="D323" s="1" t="s">
        <v>16</v>
      </c>
      <c r="E323" s="1" t="s">
        <v>24</v>
      </c>
      <c r="F323" s="1" t="s">
        <v>18</v>
      </c>
      <c r="G323" s="9">
        <v>1126422.8</v>
      </c>
      <c r="H323" s="1">
        <v>412208.77</v>
      </c>
      <c r="I323" s="1">
        <v>713</v>
      </c>
      <c r="J323" s="1">
        <v>14</v>
      </c>
      <c r="K323" s="1">
        <v>114175</v>
      </c>
      <c r="L323" s="1" t="s">
        <v>40</v>
      </c>
      <c r="M323" s="1" t="s">
        <v>20</v>
      </c>
      <c r="N323" s="1">
        <v>1.9</v>
      </c>
    </row>
    <row r="324" spans="1:14" x14ac:dyDescent="0.3">
      <c r="A324" s="1" t="s">
        <v>676</v>
      </c>
      <c r="B324" s="1" t="s">
        <v>677</v>
      </c>
      <c r="C324" s="1">
        <v>41</v>
      </c>
      <c r="D324" s="1" t="s">
        <v>16</v>
      </c>
      <c r="E324" s="1" t="s">
        <v>76</v>
      </c>
      <c r="F324" s="1" t="s">
        <v>18</v>
      </c>
      <c r="G324" s="9">
        <v>977557.87</v>
      </c>
      <c r="H324" s="1">
        <v>93408.57</v>
      </c>
      <c r="I324" s="1">
        <v>561</v>
      </c>
      <c r="J324" s="1">
        <v>399</v>
      </c>
      <c r="K324" s="1">
        <v>206413</v>
      </c>
      <c r="L324" s="1" t="s">
        <v>19</v>
      </c>
      <c r="M324" s="1" t="s">
        <v>20</v>
      </c>
      <c r="N324" s="1">
        <v>3.1</v>
      </c>
    </row>
    <row r="325" spans="1:14" x14ac:dyDescent="0.3">
      <c r="A325" s="1" t="s">
        <v>678</v>
      </c>
      <c r="B325" s="1" t="s">
        <v>679</v>
      </c>
      <c r="C325" s="1">
        <v>62</v>
      </c>
      <c r="D325" s="1" t="s">
        <v>16</v>
      </c>
      <c r="E325" s="1" t="s">
        <v>24</v>
      </c>
      <c r="F325" s="1" t="s">
        <v>18</v>
      </c>
      <c r="G325" s="9">
        <v>628079.47</v>
      </c>
      <c r="H325" s="1">
        <v>950634.41</v>
      </c>
      <c r="I325" s="1">
        <v>860</v>
      </c>
      <c r="J325" s="1">
        <v>134</v>
      </c>
      <c r="K325" s="1">
        <v>50353</v>
      </c>
      <c r="L325" s="1" t="s">
        <v>26</v>
      </c>
      <c r="M325" s="1" t="s">
        <v>33</v>
      </c>
      <c r="N325" s="1">
        <v>2.9</v>
      </c>
    </row>
    <row r="326" spans="1:14" x14ac:dyDescent="0.3">
      <c r="A326" s="1" t="s">
        <v>680</v>
      </c>
      <c r="B326" s="1" t="s">
        <v>681</v>
      </c>
      <c r="C326" s="1">
        <v>60</v>
      </c>
      <c r="D326" s="1" t="s">
        <v>16</v>
      </c>
      <c r="E326" s="1" t="s">
        <v>29</v>
      </c>
      <c r="F326" s="1" t="s">
        <v>81</v>
      </c>
      <c r="G326" s="9">
        <v>995412.03</v>
      </c>
      <c r="H326" s="1">
        <v>674942.87</v>
      </c>
      <c r="I326" s="1">
        <v>440</v>
      </c>
      <c r="J326" s="1">
        <v>219</v>
      </c>
      <c r="K326" s="1">
        <v>46471</v>
      </c>
      <c r="L326" s="1" t="s">
        <v>19</v>
      </c>
      <c r="M326" s="1" t="s">
        <v>20</v>
      </c>
      <c r="N326" s="1">
        <v>4.3</v>
      </c>
    </row>
    <row r="327" spans="1:14" x14ac:dyDescent="0.3">
      <c r="A327" s="1" t="s">
        <v>682</v>
      </c>
      <c r="B327" s="1" t="s">
        <v>683</v>
      </c>
      <c r="C327" s="1">
        <v>49</v>
      </c>
      <c r="D327" s="1" t="s">
        <v>23</v>
      </c>
      <c r="E327" s="1" t="s">
        <v>55</v>
      </c>
      <c r="F327" s="1" t="s">
        <v>39</v>
      </c>
      <c r="G327" s="9">
        <v>915457.7</v>
      </c>
      <c r="H327" s="1">
        <v>1944897.29</v>
      </c>
      <c r="I327" s="1">
        <v>835</v>
      </c>
      <c r="J327" s="1">
        <v>108</v>
      </c>
      <c r="K327" s="1">
        <v>72074</v>
      </c>
      <c r="L327" s="1" t="s">
        <v>19</v>
      </c>
      <c r="M327" s="1" t="s">
        <v>33</v>
      </c>
      <c r="N327" s="1">
        <v>2.4</v>
      </c>
    </row>
    <row r="328" spans="1:14" x14ac:dyDescent="0.3">
      <c r="A328" s="1" t="s">
        <v>684</v>
      </c>
      <c r="B328" s="1" t="s">
        <v>685</v>
      </c>
      <c r="C328" s="1">
        <v>31</v>
      </c>
      <c r="D328" s="1" t="s">
        <v>16</v>
      </c>
      <c r="E328" s="1" t="s">
        <v>45</v>
      </c>
      <c r="F328" s="1" t="s">
        <v>39</v>
      </c>
      <c r="G328" s="9">
        <v>1400020.9</v>
      </c>
      <c r="H328" s="1">
        <v>826509.04</v>
      </c>
      <c r="I328" s="1">
        <v>302</v>
      </c>
      <c r="J328" s="1">
        <v>11</v>
      </c>
      <c r="K328" s="1">
        <v>200408</v>
      </c>
      <c r="L328" s="1" t="s">
        <v>19</v>
      </c>
      <c r="M328" s="1" t="s">
        <v>20</v>
      </c>
      <c r="N328" s="1">
        <v>3.7</v>
      </c>
    </row>
    <row r="329" spans="1:14" x14ac:dyDescent="0.3">
      <c r="A329" s="1" t="s">
        <v>686</v>
      </c>
      <c r="B329" s="1" t="s">
        <v>687</v>
      </c>
      <c r="C329" s="1">
        <v>64</v>
      </c>
      <c r="D329" s="1" t="s">
        <v>23</v>
      </c>
      <c r="E329" s="1" t="s">
        <v>55</v>
      </c>
      <c r="F329" s="1" t="s">
        <v>25</v>
      </c>
      <c r="G329" s="9">
        <v>156429.26999999999</v>
      </c>
      <c r="H329" s="1">
        <v>639730.26</v>
      </c>
      <c r="I329" s="1">
        <v>536</v>
      </c>
      <c r="J329" s="1">
        <v>238</v>
      </c>
      <c r="K329" s="1">
        <v>209681</v>
      </c>
      <c r="L329" s="1" t="s">
        <v>19</v>
      </c>
      <c r="M329" s="1" t="s">
        <v>20</v>
      </c>
      <c r="N329" s="1">
        <v>5</v>
      </c>
    </row>
    <row r="330" spans="1:14" x14ac:dyDescent="0.3">
      <c r="A330" s="1" t="s">
        <v>688</v>
      </c>
      <c r="B330" s="1" t="s">
        <v>689</v>
      </c>
      <c r="C330" s="1">
        <v>70</v>
      </c>
      <c r="D330" s="1" t="s">
        <v>23</v>
      </c>
      <c r="E330" s="1" t="s">
        <v>29</v>
      </c>
      <c r="F330" s="1" t="s">
        <v>18</v>
      </c>
      <c r="G330" s="9">
        <v>1311839.97</v>
      </c>
      <c r="H330" s="1">
        <v>2130621.71</v>
      </c>
      <c r="I330" s="1">
        <v>668</v>
      </c>
      <c r="J330" s="1">
        <v>415</v>
      </c>
      <c r="K330" s="1">
        <v>65797</v>
      </c>
      <c r="L330" s="1" t="s">
        <v>19</v>
      </c>
      <c r="M330" s="1" t="s">
        <v>20</v>
      </c>
      <c r="N330" s="1">
        <v>3.7</v>
      </c>
    </row>
    <row r="331" spans="1:14" x14ac:dyDescent="0.3">
      <c r="A331" s="1" t="s">
        <v>690</v>
      </c>
      <c r="B331" s="1" t="s">
        <v>691</v>
      </c>
      <c r="C331" s="1">
        <v>26</v>
      </c>
      <c r="D331" s="1" t="s">
        <v>16</v>
      </c>
      <c r="E331" s="1" t="s">
        <v>48</v>
      </c>
      <c r="F331" s="1" t="s">
        <v>81</v>
      </c>
      <c r="G331" s="9">
        <v>972561.95</v>
      </c>
      <c r="H331" s="1">
        <v>821652.07</v>
      </c>
      <c r="I331" s="1">
        <v>748</v>
      </c>
      <c r="J331" s="1">
        <v>494</v>
      </c>
      <c r="K331" s="1">
        <v>193894</v>
      </c>
      <c r="L331" s="1" t="s">
        <v>40</v>
      </c>
      <c r="M331" s="1" t="s">
        <v>20</v>
      </c>
      <c r="N331" s="1">
        <v>3.5</v>
      </c>
    </row>
    <row r="332" spans="1:14" x14ac:dyDescent="0.3">
      <c r="A332" s="1" t="s">
        <v>692</v>
      </c>
      <c r="B332" s="1" t="s">
        <v>693</v>
      </c>
      <c r="C332" s="1">
        <v>43</v>
      </c>
      <c r="D332" s="1" t="s">
        <v>23</v>
      </c>
      <c r="E332" s="1" t="s">
        <v>38</v>
      </c>
      <c r="F332" s="1" t="s">
        <v>18</v>
      </c>
      <c r="G332" s="9">
        <v>1443653.35</v>
      </c>
      <c r="H332" s="1">
        <v>679582.73</v>
      </c>
      <c r="I332" s="1">
        <v>694</v>
      </c>
      <c r="J332" s="1">
        <v>358</v>
      </c>
      <c r="K332" s="1">
        <v>124923</v>
      </c>
      <c r="L332" s="1" t="s">
        <v>40</v>
      </c>
      <c r="M332" s="1" t="s">
        <v>20</v>
      </c>
      <c r="N332" s="1">
        <v>4.4000000000000004</v>
      </c>
    </row>
    <row r="333" spans="1:14" x14ac:dyDescent="0.3">
      <c r="A333" s="1" t="s">
        <v>694</v>
      </c>
      <c r="B333" s="1" t="s">
        <v>695</v>
      </c>
      <c r="C333" s="1">
        <v>28</v>
      </c>
      <c r="D333" s="1" t="s">
        <v>23</v>
      </c>
      <c r="E333" s="1" t="s">
        <v>48</v>
      </c>
      <c r="F333" s="1" t="s">
        <v>18</v>
      </c>
      <c r="G333" s="9">
        <v>626961.43999999994</v>
      </c>
      <c r="H333" s="1">
        <v>1476875.76</v>
      </c>
      <c r="I333" s="1">
        <v>882</v>
      </c>
      <c r="J333" s="1">
        <v>352</v>
      </c>
      <c r="K333" s="1">
        <v>47187</v>
      </c>
      <c r="L333" s="1" t="s">
        <v>40</v>
      </c>
      <c r="M333" s="1" t="s">
        <v>33</v>
      </c>
      <c r="N333" s="1">
        <v>2.8</v>
      </c>
    </row>
    <row r="334" spans="1:14" x14ac:dyDescent="0.3">
      <c r="A334" s="1" t="s">
        <v>696</v>
      </c>
      <c r="B334" s="1" t="s">
        <v>697</v>
      </c>
      <c r="C334" s="1">
        <v>49</v>
      </c>
      <c r="D334" s="1" t="s">
        <v>16</v>
      </c>
      <c r="E334" s="1" t="s">
        <v>24</v>
      </c>
      <c r="F334" s="1" t="s">
        <v>81</v>
      </c>
      <c r="G334" s="9">
        <v>1331952.92</v>
      </c>
      <c r="H334" s="1">
        <v>1101719.7</v>
      </c>
      <c r="I334" s="1">
        <v>364</v>
      </c>
      <c r="J334" s="1">
        <v>138</v>
      </c>
      <c r="K334" s="1">
        <v>49605</v>
      </c>
      <c r="L334" s="1" t="s">
        <v>19</v>
      </c>
      <c r="M334" s="1" t="s">
        <v>33</v>
      </c>
      <c r="N334" s="1">
        <v>3.6</v>
      </c>
    </row>
    <row r="335" spans="1:14" x14ac:dyDescent="0.3">
      <c r="A335" s="1" t="s">
        <v>698</v>
      </c>
      <c r="B335" s="1" t="s">
        <v>699</v>
      </c>
      <c r="C335" s="1">
        <v>60</v>
      </c>
      <c r="D335" s="1" t="s">
        <v>16</v>
      </c>
      <c r="E335" s="1" t="s">
        <v>76</v>
      </c>
      <c r="F335" s="1" t="s">
        <v>39</v>
      </c>
      <c r="G335" s="9">
        <v>376622.61</v>
      </c>
      <c r="H335" s="1">
        <v>864373.72</v>
      </c>
      <c r="I335" s="1">
        <v>694</v>
      </c>
      <c r="J335" s="1">
        <v>81</v>
      </c>
      <c r="K335" s="1">
        <v>210487</v>
      </c>
      <c r="L335" s="1" t="s">
        <v>30</v>
      </c>
      <c r="M335" s="1" t="s">
        <v>33</v>
      </c>
      <c r="N335" s="1">
        <v>4.4000000000000004</v>
      </c>
    </row>
    <row r="336" spans="1:14" x14ac:dyDescent="0.3">
      <c r="A336" s="1" t="s">
        <v>700</v>
      </c>
      <c r="B336" s="1" t="s">
        <v>701</v>
      </c>
      <c r="C336" s="1">
        <v>28</v>
      </c>
      <c r="D336" s="1" t="s">
        <v>16</v>
      </c>
      <c r="E336" s="1" t="s">
        <v>17</v>
      </c>
      <c r="F336" s="1" t="s">
        <v>25</v>
      </c>
      <c r="G336" s="9">
        <v>1128387.8500000001</v>
      </c>
      <c r="H336" s="1">
        <v>801584.54</v>
      </c>
      <c r="I336" s="1">
        <v>638</v>
      </c>
      <c r="J336" s="1">
        <v>147</v>
      </c>
      <c r="K336" s="1">
        <v>39625</v>
      </c>
      <c r="L336" s="1" t="s">
        <v>40</v>
      </c>
      <c r="M336" s="1" t="s">
        <v>20</v>
      </c>
      <c r="N336" s="1">
        <v>1.2</v>
      </c>
    </row>
    <row r="337" spans="1:14" x14ac:dyDescent="0.3">
      <c r="A337" s="1" t="s">
        <v>702</v>
      </c>
      <c r="B337" s="1" t="s">
        <v>703</v>
      </c>
      <c r="C337" s="1">
        <v>47</v>
      </c>
      <c r="D337" s="1" t="s">
        <v>23</v>
      </c>
      <c r="E337" s="1" t="s">
        <v>76</v>
      </c>
      <c r="F337" s="1" t="s">
        <v>18</v>
      </c>
      <c r="G337" s="9">
        <v>1202885.6299999999</v>
      </c>
      <c r="H337" s="1">
        <v>1120246.46</v>
      </c>
      <c r="I337" s="1">
        <v>810</v>
      </c>
      <c r="J337" s="1">
        <v>233</v>
      </c>
      <c r="K337" s="1">
        <v>136441</v>
      </c>
      <c r="L337" s="1" t="s">
        <v>30</v>
      </c>
      <c r="M337" s="1" t="s">
        <v>33</v>
      </c>
      <c r="N337" s="1">
        <v>2.2999999999999998</v>
      </c>
    </row>
    <row r="338" spans="1:14" x14ac:dyDescent="0.3">
      <c r="A338" s="1" t="s">
        <v>704</v>
      </c>
      <c r="B338" s="1" t="s">
        <v>705</v>
      </c>
      <c r="C338" s="1">
        <v>20</v>
      </c>
      <c r="D338" s="1" t="s">
        <v>16</v>
      </c>
      <c r="E338" s="1" t="s">
        <v>45</v>
      </c>
      <c r="F338" s="1" t="s">
        <v>81</v>
      </c>
      <c r="G338" s="9">
        <v>825902.69</v>
      </c>
      <c r="H338" s="1">
        <v>2064771.9</v>
      </c>
      <c r="I338" s="1">
        <v>611</v>
      </c>
      <c r="J338" s="1">
        <v>460</v>
      </c>
      <c r="K338" s="1">
        <v>166048</v>
      </c>
      <c r="L338" s="1" t="s">
        <v>26</v>
      </c>
      <c r="M338" s="1" t="s">
        <v>20</v>
      </c>
      <c r="N338" s="1">
        <v>3</v>
      </c>
    </row>
    <row r="339" spans="1:14" x14ac:dyDescent="0.3">
      <c r="A339" s="1" t="s">
        <v>706</v>
      </c>
      <c r="B339" s="1" t="s">
        <v>707</v>
      </c>
      <c r="C339" s="1">
        <v>70</v>
      </c>
      <c r="D339" s="1" t="s">
        <v>23</v>
      </c>
      <c r="E339" s="1" t="s">
        <v>29</v>
      </c>
      <c r="F339" s="1" t="s">
        <v>18</v>
      </c>
      <c r="G339" s="9">
        <v>1267254.57</v>
      </c>
      <c r="H339" s="1">
        <v>829931.56</v>
      </c>
      <c r="I339" s="1">
        <v>784</v>
      </c>
      <c r="J339" s="1">
        <v>371</v>
      </c>
      <c r="K339" s="1">
        <v>78436</v>
      </c>
      <c r="L339" s="1" t="s">
        <v>40</v>
      </c>
      <c r="M339" s="1" t="s">
        <v>20</v>
      </c>
      <c r="N339" s="1">
        <v>3.6</v>
      </c>
    </row>
    <row r="340" spans="1:14" x14ac:dyDescent="0.3">
      <c r="A340" s="1" t="s">
        <v>708</v>
      </c>
      <c r="B340" s="1" t="s">
        <v>709</v>
      </c>
      <c r="C340" s="1">
        <v>39</v>
      </c>
      <c r="D340" s="1" t="s">
        <v>16</v>
      </c>
      <c r="E340" s="1" t="s">
        <v>76</v>
      </c>
      <c r="F340" s="1" t="s">
        <v>39</v>
      </c>
      <c r="G340" s="9">
        <v>1245676.4099999999</v>
      </c>
      <c r="H340" s="1">
        <v>2411084.21</v>
      </c>
      <c r="I340" s="1">
        <v>598</v>
      </c>
      <c r="J340" s="1">
        <v>285</v>
      </c>
      <c r="K340" s="1">
        <v>113097</v>
      </c>
      <c r="L340" s="1" t="s">
        <v>30</v>
      </c>
      <c r="M340" s="1" t="s">
        <v>20</v>
      </c>
      <c r="N340" s="1">
        <v>3.1</v>
      </c>
    </row>
    <row r="341" spans="1:14" x14ac:dyDescent="0.3">
      <c r="A341" s="1" t="s">
        <v>710</v>
      </c>
      <c r="B341" s="1" t="s">
        <v>711</v>
      </c>
      <c r="C341" s="1">
        <v>70</v>
      </c>
      <c r="D341" s="1" t="s">
        <v>16</v>
      </c>
      <c r="E341" s="1" t="s">
        <v>17</v>
      </c>
      <c r="F341" s="1" t="s">
        <v>39</v>
      </c>
      <c r="G341" s="9">
        <v>1115053.78</v>
      </c>
      <c r="H341" s="1">
        <v>1023026.89</v>
      </c>
      <c r="I341" s="1">
        <v>560</v>
      </c>
      <c r="J341" s="1">
        <v>317</v>
      </c>
      <c r="K341" s="1">
        <v>207919</v>
      </c>
      <c r="L341" s="1" t="s">
        <v>30</v>
      </c>
      <c r="M341" s="1" t="s">
        <v>20</v>
      </c>
      <c r="N341" s="1">
        <v>1.8</v>
      </c>
    </row>
    <row r="342" spans="1:14" x14ac:dyDescent="0.3">
      <c r="A342" s="1" t="s">
        <v>712</v>
      </c>
      <c r="B342" s="1" t="s">
        <v>713</v>
      </c>
      <c r="C342" s="1">
        <v>63</v>
      </c>
      <c r="D342" s="1" t="s">
        <v>23</v>
      </c>
      <c r="E342" s="1" t="s">
        <v>38</v>
      </c>
      <c r="F342" s="1" t="s">
        <v>25</v>
      </c>
      <c r="G342" s="9">
        <v>166109.79</v>
      </c>
      <c r="H342" s="1">
        <v>1036175.86</v>
      </c>
      <c r="I342" s="1">
        <v>426</v>
      </c>
      <c r="J342" s="1">
        <v>400</v>
      </c>
      <c r="K342" s="1">
        <v>108587</v>
      </c>
      <c r="L342" s="1" t="s">
        <v>19</v>
      </c>
      <c r="M342" s="1" t="s">
        <v>20</v>
      </c>
      <c r="N342" s="1">
        <v>4.5999999999999996</v>
      </c>
    </row>
    <row r="343" spans="1:14" x14ac:dyDescent="0.3">
      <c r="A343" s="1" t="s">
        <v>714</v>
      </c>
      <c r="B343" s="1" t="s">
        <v>715</v>
      </c>
      <c r="C343" s="1">
        <v>53</v>
      </c>
      <c r="D343" s="1" t="s">
        <v>16</v>
      </c>
      <c r="E343" s="1" t="s">
        <v>38</v>
      </c>
      <c r="F343" s="1" t="s">
        <v>39</v>
      </c>
      <c r="G343" s="9">
        <v>1259030.0900000001</v>
      </c>
      <c r="H343" s="1">
        <v>1207329.9099999999</v>
      </c>
      <c r="I343" s="1">
        <v>820</v>
      </c>
      <c r="J343" s="1">
        <v>404</v>
      </c>
      <c r="K343" s="1">
        <v>133458</v>
      </c>
      <c r="L343" s="1" t="s">
        <v>19</v>
      </c>
      <c r="M343" s="1" t="s">
        <v>33</v>
      </c>
      <c r="N343" s="1">
        <v>4.7</v>
      </c>
    </row>
    <row r="344" spans="1:14" x14ac:dyDescent="0.3">
      <c r="A344" s="1" t="s">
        <v>716</v>
      </c>
      <c r="B344" s="1" t="s">
        <v>717</v>
      </c>
      <c r="C344" s="1">
        <v>60</v>
      </c>
      <c r="D344" s="1" t="s">
        <v>16</v>
      </c>
      <c r="E344" s="1" t="s">
        <v>55</v>
      </c>
      <c r="F344" s="1" t="s">
        <v>25</v>
      </c>
      <c r="G344" s="9">
        <v>911210.36</v>
      </c>
      <c r="H344" s="1">
        <v>804609.4</v>
      </c>
      <c r="I344" s="1">
        <v>693</v>
      </c>
      <c r="J344" s="1">
        <v>219</v>
      </c>
      <c r="K344" s="1">
        <v>177429</v>
      </c>
      <c r="L344" s="1" t="s">
        <v>26</v>
      </c>
      <c r="M344" s="1" t="s">
        <v>33</v>
      </c>
      <c r="N344" s="1">
        <v>4.9000000000000004</v>
      </c>
    </row>
    <row r="345" spans="1:14" x14ac:dyDescent="0.3">
      <c r="A345" s="1" t="s">
        <v>718</v>
      </c>
      <c r="B345" s="1" t="s">
        <v>719</v>
      </c>
      <c r="C345" s="1">
        <v>46</v>
      </c>
      <c r="D345" s="1" t="s">
        <v>23</v>
      </c>
      <c r="E345" s="1" t="s">
        <v>24</v>
      </c>
      <c r="F345" s="1" t="s">
        <v>39</v>
      </c>
      <c r="G345" s="9">
        <v>204390.89</v>
      </c>
      <c r="H345" s="1">
        <v>1031863.68</v>
      </c>
      <c r="I345" s="1">
        <v>824</v>
      </c>
      <c r="J345" s="1">
        <v>158</v>
      </c>
      <c r="K345" s="1">
        <v>230972</v>
      </c>
      <c r="L345" s="1" t="s">
        <v>40</v>
      </c>
      <c r="M345" s="1" t="s">
        <v>33</v>
      </c>
      <c r="N345" s="1">
        <v>4.4000000000000004</v>
      </c>
    </row>
    <row r="346" spans="1:14" x14ac:dyDescent="0.3">
      <c r="A346" s="1" t="s">
        <v>720</v>
      </c>
      <c r="B346" s="1" t="s">
        <v>721</v>
      </c>
      <c r="C346" s="1">
        <v>61</v>
      </c>
      <c r="D346" s="1" t="s">
        <v>23</v>
      </c>
      <c r="E346" s="1" t="s">
        <v>29</v>
      </c>
      <c r="F346" s="1" t="s">
        <v>81</v>
      </c>
      <c r="G346" s="9">
        <v>1382181.69</v>
      </c>
      <c r="H346" s="1">
        <v>331679.32</v>
      </c>
      <c r="I346" s="1">
        <v>482</v>
      </c>
      <c r="J346" s="1">
        <v>262</v>
      </c>
      <c r="K346" s="1">
        <v>110516</v>
      </c>
      <c r="L346" s="1" t="s">
        <v>30</v>
      </c>
      <c r="M346" s="1" t="s">
        <v>33</v>
      </c>
      <c r="N346" s="1">
        <v>3.2</v>
      </c>
    </row>
    <row r="347" spans="1:14" x14ac:dyDescent="0.3">
      <c r="A347" s="1" t="s">
        <v>722</v>
      </c>
      <c r="B347" s="1" t="s">
        <v>723</v>
      </c>
      <c r="C347" s="1">
        <v>61</v>
      </c>
      <c r="D347" s="1" t="s">
        <v>16</v>
      </c>
      <c r="E347" s="1" t="s">
        <v>76</v>
      </c>
      <c r="F347" s="1" t="s">
        <v>25</v>
      </c>
      <c r="G347" s="9">
        <v>1341329.67</v>
      </c>
      <c r="H347" s="1">
        <v>1334757.01</v>
      </c>
      <c r="I347" s="1">
        <v>732</v>
      </c>
      <c r="J347" s="1">
        <v>418</v>
      </c>
      <c r="K347" s="1">
        <v>216049</v>
      </c>
      <c r="L347" s="1" t="s">
        <v>40</v>
      </c>
      <c r="M347" s="1" t="s">
        <v>20</v>
      </c>
      <c r="N347" s="1">
        <v>1.1000000000000001</v>
      </c>
    </row>
    <row r="348" spans="1:14" x14ac:dyDescent="0.3">
      <c r="A348" s="1" t="s">
        <v>724</v>
      </c>
      <c r="B348" s="1" t="s">
        <v>725</v>
      </c>
      <c r="C348" s="1">
        <v>60</v>
      </c>
      <c r="D348" s="1" t="s">
        <v>16</v>
      </c>
      <c r="E348" s="1" t="s">
        <v>76</v>
      </c>
      <c r="F348" s="1" t="s">
        <v>81</v>
      </c>
      <c r="G348" s="9">
        <v>303854.11</v>
      </c>
      <c r="H348" s="1">
        <v>1875462.55</v>
      </c>
      <c r="I348" s="1">
        <v>464</v>
      </c>
      <c r="J348" s="1">
        <v>151</v>
      </c>
      <c r="K348" s="1">
        <v>34838</v>
      </c>
      <c r="L348" s="1" t="s">
        <v>40</v>
      </c>
      <c r="M348" s="1" t="s">
        <v>20</v>
      </c>
      <c r="N348" s="1">
        <v>3.7</v>
      </c>
    </row>
    <row r="349" spans="1:14" x14ac:dyDescent="0.3">
      <c r="A349" s="1" t="s">
        <v>726</v>
      </c>
      <c r="B349" s="1" t="s">
        <v>727</v>
      </c>
      <c r="C349" s="1">
        <v>40</v>
      </c>
      <c r="D349" s="1" t="s">
        <v>23</v>
      </c>
      <c r="E349" s="1" t="s">
        <v>24</v>
      </c>
      <c r="F349" s="1" t="s">
        <v>81</v>
      </c>
      <c r="G349" s="9">
        <v>681628.78</v>
      </c>
      <c r="H349" s="1">
        <v>1540272.08</v>
      </c>
      <c r="I349" s="1">
        <v>875</v>
      </c>
      <c r="J349" s="1">
        <v>447</v>
      </c>
      <c r="K349" s="1">
        <v>233392</v>
      </c>
      <c r="L349" s="1" t="s">
        <v>19</v>
      </c>
      <c r="M349" s="1" t="s">
        <v>33</v>
      </c>
      <c r="N349" s="1">
        <v>1.9</v>
      </c>
    </row>
    <row r="350" spans="1:14" x14ac:dyDescent="0.3">
      <c r="A350" s="1" t="s">
        <v>728</v>
      </c>
      <c r="B350" s="1" t="s">
        <v>729</v>
      </c>
      <c r="C350" s="1">
        <v>42</v>
      </c>
      <c r="D350" s="1" t="s">
        <v>16</v>
      </c>
      <c r="E350" s="1" t="s">
        <v>55</v>
      </c>
      <c r="F350" s="1" t="s">
        <v>39</v>
      </c>
      <c r="G350" s="9">
        <v>1435269.45</v>
      </c>
      <c r="H350" s="1">
        <v>2439556.81</v>
      </c>
      <c r="I350" s="1">
        <v>620</v>
      </c>
      <c r="J350" s="1">
        <v>499</v>
      </c>
      <c r="K350" s="1">
        <v>129200</v>
      </c>
      <c r="L350" s="1" t="s">
        <v>30</v>
      </c>
      <c r="M350" s="1" t="s">
        <v>20</v>
      </c>
      <c r="N350" s="1">
        <v>3.2</v>
      </c>
    </row>
    <row r="351" spans="1:14" x14ac:dyDescent="0.3">
      <c r="A351" s="1" t="s">
        <v>730</v>
      </c>
      <c r="B351" s="1" t="s">
        <v>731</v>
      </c>
      <c r="C351" s="1">
        <v>58</v>
      </c>
      <c r="D351" s="1" t="s">
        <v>16</v>
      </c>
      <c r="E351" s="1" t="s">
        <v>55</v>
      </c>
      <c r="F351" s="1" t="s">
        <v>25</v>
      </c>
      <c r="G351" s="9">
        <v>1065770.45</v>
      </c>
      <c r="H351" s="1">
        <v>919352.8</v>
      </c>
      <c r="I351" s="1">
        <v>859</v>
      </c>
      <c r="J351" s="1">
        <v>383</v>
      </c>
      <c r="K351" s="1">
        <v>204714</v>
      </c>
      <c r="L351" s="1" t="s">
        <v>40</v>
      </c>
      <c r="M351" s="1" t="s">
        <v>20</v>
      </c>
      <c r="N351" s="1">
        <v>3.4</v>
      </c>
    </row>
    <row r="352" spans="1:14" x14ac:dyDescent="0.3">
      <c r="A352" s="1" t="s">
        <v>732</v>
      </c>
      <c r="B352" s="1" t="s">
        <v>733</v>
      </c>
      <c r="C352" s="1">
        <v>29</v>
      </c>
      <c r="D352" s="1" t="s">
        <v>23</v>
      </c>
      <c r="E352" s="1" t="s">
        <v>38</v>
      </c>
      <c r="F352" s="1" t="s">
        <v>39</v>
      </c>
      <c r="G352" s="9">
        <v>1103943.83</v>
      </c>
      <c r="H352" s="1">
        <v>298384.53000000003</v>
      </c>
      <c r="I352" s="1">
        <v>341</v>
      </c>
      <c r="J352" s="1">
        <v>224</v>
      </c>
      <c r="K352" s="1">
        <v>65559</v>
      </c>
      <c r="L352" s="1" t="s">
        <v>26</v>
      </c>
      <c r="M352" s="1" t="s">
        <v>20</v>
      </c>
      <c r="N352" s="1">
        <v>2.1</v>
      </c>
    </row>
    <row r="353" spans="1:14" x14ac:dyDescent="0.3">
      <c r="A353" s="1" t="s">
        <v>734</v>
      </c>
      <c r="B353" s="1" t="s">
        <v>735</v>
      </c>
      <c r="C353" s="1">
        <v>39</v>
      </c>
      <c r="D353" s="1" t="s">
        <v>16</v>
      </c>
      <c r="E353" s="1" t="s">
        <v>55</v>
      </c>
      <c r="F353" s="1" t="s">
        <v>25</v>
      </c>
      <c r="G353" s="9">
        <v>1065985.5</v>
      </c>
      <c r="H353" s="1">
        <v>387014.24</v>
      </c>
      <c r="I353" s="1">
        <v>457</v>
      </c>
      <c r="J353" s="1">
        <v>480</v>
      </c>
      <c r="K353" s="1">
        <v>142245</v>
      </c>
      <c r="L353" s="1" t="s">
        <v>26</v>
      </c>
      <c r="M353" s="1" t="s">
        <v>20</v>
      </c>
      <c r="N353" s="1">
        <v>2.2999999999999998</v>
      </c>
    </row>
    <row r="354" spans="1:14" x14ac:dyDescent="0.3">
      <c r="A354" s="1" t="s">
        <v>736</v>
      </c>
      <c r="B354" s="1" t="s">
        <v>737</v>
      </c>
      <c r="C354" s="1">
        <v>68</v>
      </c>
      <c r="D354" s="1" t="s">
        <v>16</v>
      </c>
      <c r="E354" s="1" t="s">
        <v>17</v>
      </c>
      <c r="F354" s="1" t="s">
        <v>25</v>
      </c>
      <c r="G354" s="9">
        <v>480199.21</v>
      </c>
      <c r="H354" s="1">
        <v>549905.04</v>
      </c>
      <c r="I354" s="1">
        <v>488</v>
      </c>
      <c r="J354" s="1">
        <v>271</v>
      </c>
      <c r="K354" s="1">
        <v>205514</v>
      </c>
      <c r="L354" s="1" t="s">
        <v>19</v>
      </c>
      <c r="M354" s="1" t="s">
        <v>33</v>
      </c>
      <c r="N354" s="1">
        <v>1.3</v>
      </c>
    </row>
    <row r="355" spans="1:14" x14ac:dyDescent="0.3">
      <c r="A355" s="1" t="s">
        <v>738</v>
      </c>
      <c r="B355" s="1" t="s">
        <v>739</v>
      </c>
      <c r="C355" s="1">
        <v>32</v>
      </c>
      <c r="D355" s="1" t="s">
        <v>23</v>
      </c>
      <c r="E355" s="1" t="s">
        <v>76</v>
      </c>
      <c r="F355" s="1" t="s">
        <v>18</v>
      </c>
      <c r="G355" s="9">
        <v>996685.04</v>
      </c>
      <c r="H355" s="1">
        <v>827666.34</v>
      </c>
      <c r="I355" s="1">
        <v>600</v>
      </c>
      <c r="J355" s="1">
        <v>116</v>
      </c>
      <c r="K355" s="1">
        <v>75929</v>
      </c>
      <c r="L355" s="1" t="s">
        <v>26</v>
      </c>
      <c r="M355" s="1" t="s">
        <v>33</v>
      </c>
      <c r="N355" s="1">
        <v>4.8</v>
      </c>
    </row>
    <row r="356" spans="1:14" x14ac:dyDescent="0.3">
      <c r="A356" s="1" t="s">
        <v>740</v>
      </c>
      <c r="B356" s="1" t="s">
        <v>741</v>
      </c>
      <c r="C356" s="1">
        <v>33</v>
      </c>
      <c r="D356" s="1" t="s">
        <v>23</v>
      </c>
      <c r="E356" s="1" t="s">
        <v>29</v>
      </c>
      <c r="F356" s="1" t="s">
        <v>25</v>
      </c>
      <c r="G356" s="9">
        <v>922483.14</v>
      </c>
      <c r="H356" s="1">
        <v>1552829.24</v>
      </c>
      <c r="I356" s="1">
        <v>340</v>
      </c>
      <c r="J356" s="1">
        <v>354</v>
      </c>
      <c r="K356" s="1">
        <v>188365</v>
      </c>
      <c r="L356" s="1" t="s">
        <v>26</v>
      </c>
      <c r="M356" s="1" t="s">
        <v>33</v>
      </c>
      <c r="N356" s="1">
        <v>4.5</v>
      </c>
    </row>
    <row r="357" spans="1:14" x14ac:dyDescent="0.3">
      <c r="A357" s="1" t="s">
        <v>742</v>
      </c>
      <c r="B357" s="1" t="s">
        <v>743</v>
      </c>
      <c r="C357" s="1">
        <v>19</v>
      </c>
      <c r="D357" s="1" t="s">
        <v>23</v>
      </c>
      <c r="E357" s="1" t="s">
        <v>24</v>
      </c>
      <c r="F357" s="1" t="s">
        <v>81</v>
      </c>
      <c r="G357" s="9">
        <v>1234053.05</v>
      </c>
      <c r="H357" s="1">
        <v>937395.11</v>
      </c>
      <c r="I357" s="1">
        <v>820</v>
      </c>
      <c r="J357" s="1">
        <v>233</v>
      </c>
      <c r="K357" s="1">
        <v>155493</v>
      </c>
      <c r="L357" s="1" t="s">
        <v>19</v>
      </c>
      <c r="M357" s="1" t="s">
        <v>20</v>
      </c>
      <c r="N357" s="1">
        <v>2.9</v>
      </c>
    </row>
    <row r="358" spans="1:14" x14ac:dyDescent="0.3">
      <c r="A358" s="1" t="s">
        <v>744</v>
      </c>
      <c r="B358" s="1" t="s">
        <v>745</v>
      </c>
      <c r="C358" s="1">
        <v>28</v>
      </c>
      <c r="D358" s="1" t="s">
        <v>16</v>
      </c>
      <c r="E358" s="1" t="s">
        <v>17</v>
      </c>
      <c r="F358" s="1" t="s">
        <v>18</v>
      </c>
      <c r="G358" s="9">
        <v>809272.37</v>
      </c>
      <c r="H358" s="1">
        <v>18326.47</v>
      </c>
      <c r="I358" s="1">
        <v>367</v>
      </c>
      <c r="J358" s="1">
        <v>112</v>
      </c>
      <c r="K358" s="1">
        <v>222720</v>
      </c>
      <c r="L358" s="1" t="s">
        <v>40</v>
      </c>
      <c r="M358" s="1" t="s">
        <v>33</v>
      </c>
      <c r="N358" s="1">
        <v>3.7</v>
      </c>
    </row>
    <row r="359" spans="1:14" x14ac:dyDescent="0.3">
      <c r="A359" s="1" t="s">
        <v>746</v>
      </c>
      <c r="B359" s="1" t="s">
        <v>747</v>
      </c>
      <c r="C359" s="1">
        <v>59</v>
      </c>
      <c r="D359" s="1" t="s">
        <v>23</v>
      </c>
      <c r="E359" s="1" t="s">
        <v>76</v>
      </c>
      <c r="F359" s="1" t="s">
        <v>18</v>
      </c>
      <c r="G359" s="9">
        <v>1409927.91</v>
      </c>
      <c r="H359" s="1">
        <v>1867227.06</v>
      </c>
      <c r="I359" s="1">
        <v>457</v>
      </c>
      <c r="J359" s="1">
        <v>17</v>
      </c>
      <c r="K359" s="1">
        <v>234107</v>
      </c>
      <c r="L359" s="1" t="s">
        <v>19</v>
      </c>
      <c r="M359" s="1" t="s">
        <v>20</v>
      </c>
      <c r="N359" s="1">
        <v>2.8</v>
      </c>
    </row>
    <row r="360" spans="1:14" x14ac:dyDescent="0.3">
      <c r="A360" s="1" t="s">
        <v>748</v>
      </c>
      <c r="B360" s="1" t="s">
        <v>749</v>
      </c>
      <c r="C360" s="1">
        <v>29</v>
      </c>
      <c r="D360" s="1" t="s">
        <v>23</v>
      </c>
      <c r="E360" s="1" t="s">
        <v>45</v>
      </c>
      <c r="F360" s="1" t="s">
        <v>25</v>
      </c>
      <c r="G360" s="9">
        <v>381602.46</v>
      </c>
      <c r="H360" s="1">
        <v>176105.23</v>
      </c>
      <c r="I360" s="1">
        <v>533</v>
      </c>
      <c r="J360" s="1">
        <v>471</v>
      </c>
      <c r="K360" s="1">
        <v>228198</v>
      </c>
      <c r="L360" s="1" t="s">
        <v>30</v>
      </c>
      <c r="M360" s="1" t="s">
        <v>33</v>
      </c>
      <c r="N360" s="1">
        <v>2</v>
      </c>
    </row>
    <row r="361" spans="1:14" x14ac:dyDescent="0.3">
      <c r="A361" s="1" t="s">
        <v>750</v>
      </c>
      <c r="B361" s="1" t="s">
        <v>751</v>
      </c>
      <c r="C361" s="1">
        <v>19</v>
      </c>
      <c r="D361" s="1" t="s">
        <v>16</v>
      </c>
      <c r="E361" s="1" t="s">
        <v>29</v>
      </c>
      <c r="F361" s="1" t="s">
        <v>81</v>
      </c>
      <c r="G361" s="9">
        <v>1011581.6</v>
      </c>
      <c r="H361" s="1">
        <v>1337085.93</v>
      </c>
      <c r="I361" s="1">
        <v>364</v>
      </c>
      <c r="J361" s="1">
        <v>392</v>
      </c>
      <c r="K361" s="1">
        <v>122105</v>
      </c>
      <c r="L361" s="1" t="s">
        <v>19</v>
      </c>
      <c r="M361" s="1" t="s">
        <v>33</v>
      </c>
      <c r="N361" s="1">
        <v>4</v>
      </c>
    </row>
    <row r="362" spans="1:14" x14ac:dyDescent="0.3">
      <c r="A362" s="1" t="s">
        <v>752</v>
      </c>
      <c r="B362" s="1" t="s">
        <v>753</v>
      </c>
      <c r="C362" s="1">
        <v>68</v>
      </c>
      <c r="D362" s="1" t="s">
        <v>16</v>
      </c>
      <c r="E362" s="1" t="s">
        <v>45</v>
      </c>
      <c r="F362" s="1" t="s">
        <v>39</v>
      </c>
      <c r="G362" s="9">
        <v>455519.31</v>
      </c>
      <c r="H362" s="1">
        <v>216263.05</v>
      </c>
      <c r="I362" s="1">
        <v>748</v>
      </c>
      <c r="J362" s="1">
        <v>200</v>
      </c>
      <c r="K362" s="1">
        <v>199798</v>
      </c>
      <c r="L362" s="1" t="s">
        <v>40</v>
      </c>
      <c r="M362" s="1" t="s">
        <v>20</v>
      </c>
      <c r="N362" s="1">
        <v>2.6</v>
      </c>
    </row>
    <row r="363" spans="1:14" x14ac:dyDescent="0.3">
      <c r="A363" s="1" t="s">
        <v>754</v>
      </c>
      <c r="B363" s="1" t="s">
        <v>755</v>
      </c>
      <c r="C363" s="1">
        <v>65</v>
      </c>
      <c r="D363" s="1" t="s">
        <v>23</v>
      </c>
      <c r="E363" s="1" t="s">
        <v>48</v>
      </c>
      <c r="F363" s="1" t="s">
        <v>18</v>
      </c>
      <c r="G363" s="9">
        <v>1196171.8</v>
      </c>
      <c r="H363" s="1">
        <v>2123668.6</v>
      </c>
      <c r="I363" s="1">
        <v>602</v>
      </c>
      <c r="J363" s="1">
        <v>496</v>
      </c>
      <c r="K363" s="1">
        <v>122496</v>
      </c>
      <c r="L363" s="1" t="s">
        <v>40</v>
      </c>
      <c r="M363" s="1" t="s">
        <v>20</v>
      </c>
      <c r="N363" s="1">
        <v>3.5</v>
      </c>
    </row>
    <row r="364" spans="1:14" x14ac:dyDescent="0.3">
      <c r="A364" s="1" t="s">
        <v>756</v>
      </c>
      <c r="B364" s="1" t="s">
        <v>757</v>
      </c>
      <c r="C364" s="1">
        <v>20</v>
      </c>
      <c r="D364" s="1" t="s">
        <v>16</v>
      </c>
      <c r="E364" s="1" t="s">
        <v>48</v>
      </c>
      <c r="F364" s="1" t="s">
        <v>39</v>
      </c>
      <c r="G364" s="9">
        <v>861214.3</v>
      </c>
      <c r="H364" s="1">
        <v>985204.25</v>
      </c>
      <c r="I364" s="1">
        <v>860</v>
      </c>
      <c r="J364" s="1">
        <v>489</v>
      </c>
      <c r="K364" s="1">
        <v>21318</v>
      </c>
      <c r="L364" s="1" t="s">
        <v>30</v>
      </c>
      <c r="M364" s="1" t="s">
        <v>20</v>
      </c>
      <c r="N364" s="1">
        <v>1.3</v>
      </c>
    </row>
    <row r="365" spans="1:14" x14ac:dyDescent="0.3">
      <c r="A365" s="1" t="s">
        <v>758</v>
      </c>
      <c r="B365" s="1" t="s">
        <v>759</v>
      </c>
      <c r="C365" s="1">
        <v>28</v>
      </c>
      <c r="D365" s="1" t="s">
        <v>16</v>
      </c>
      <c r="E365" s="1" t="s">
        <v>45</v>
      </c>
      <c r="F365" s="1" t="s">
        <v>18</v>
      </c>
      <c r="G365" s="9">
        <v>335078.01</v>
      </c>
      <c r="H365" s="1">
        <v>2086870.92</v>
      </c>
      <c r="I365" s="1">
        <v>498</v>
      </c>
      <c r="J365" s="1">
        <v>63</v>
      </c>
      <c r="K365" s="1">
        <v>68232</v>
      </c>
      <c r="L365" s="1" t="s">
        <v>26</v>
      </c>
      <c r="M365" s="1" t="s">
        <v>20</v>
      </c>
      <c r="N365" s="1">
        <v>1.7</v>
      </c>
    </row>
    <row r="366" spans="1:14" x14ac:dyDescent="0.3">
      <c r="A366" s="1" t="s">
        <v>760</v>
      </c>
      <c r="B366" s="1" t="s">
        <v>761</v>
      </c>
      <c r="C366" s="1">
        <v>34</v>
      </c>
      <c r="D366" s="1" t="s">
        <v>16</v>
      </c>
      <c r="E366" s="1" t="s">
        <v>29</v>
      </c>
      <c r="F366" s="1" t="s">
        <v>81</v>
      </c>
      <c r="G366" s="9">
        <v>300139.3</v>
      </c>
      <c r="H366" s="1">
        <v>1451489.13</v>
      </c>
      <c r="I366" s="1">
        <v>638</v>
      </c>
      <c r="J366" s="1">
        <v>187</v>
      </c>
      <c r="K366" s="1">
        <v>45743</v>
      </c>
      <c r="L366" s="1" t="s">
        <v>19</v>
      </c>
      <c r="M366" s="1" t="s">
        <v>20</v>
      </c>
      <c r="N366" s="1">
        <v>1.5</v>
      </c>
    </row>
    <row r="367" spans="1:14" x14ac:dyDescent="0.3">
      <c r="A367" s="1" t="s">
        <v>762</v>
      </c>
      <c r="B367" s="1" t="s">
        <v>763</v>
      </c>
      <c r="C367" s="1">
        <v>38</v>
      </c>
      <c r="D367" s="1" t="s">
        <v>23</v>
      </c>
      <c r="E367" s="1" t="s">
        <v>48</v>
      </c>
      <c r="F367" s="1" t="s">
        <v>25</v>
      </c>
      <c r="G367" s="9">
        <v>678715.74</v>
      </c>
      <c r="H367" s="1">
        <v>1540856.08</v>
      </c>
      <c r="I367" s="1">
        <v>613</v>
      </c>
      <c r="J367" s="1">
        <v>360</v>
      </c>
      <c r="K367" s="1">
        <v>147365</v>
      </c>
      <c r="L367" s="1" t="s">
        <v>40</v>
      </c>
      <c r="M367" s="1" t="s">
        <v>20</v>
      </c>
      <c r="N367" s="1">
        <v>3.3</v>
      </c>
    </row>
    <row r="368" spans="1:14" x14ac:dyDescent="0.3">
      <c r="A368" s="1" t="s">
        <v>764</v>
      </c>
      <c r="B368" s="1" t="s">
        <v>765</v>
      </c>
      <c r="C368" s="1">
        <v>38</v>
      </c>
      <c r="D368" s="1" t="s">
        <v>16</v>
      </c>
      <c r="E368" s="1" t="s">
        <v>48</v>
      </c>
      <c r="F368" s="1" t="s">
        <v>25</v>
      </c>
      <c r="G368" s="9">
        <v>1179561.8700000001</v>
      </c>
      <c r="H368" s="1">
        <v>1780497.82</v>
      </c>
      <c r="I368" s="1">
        <v>746</v>
      </c>
      <c r="J368" s="1">
        <v>146</v>
      </c>
      <c r="K368" s="1">
        <v>84533</v>
      </c>
      <c r="L368" s="1" t="s">
        <v>30</v>
      </c>
      <c r="M368" s="1" t="s">
        <v>33</v>
      </c>
      <c r="N368" s="1">
        <v>4.4000000000000004</v>
      </c>
    </row>
    <row r="369" spans="1:14" x14ac:dyDescent="0.3">
      <c r="A369" s="1" t="s">
        <v>766</v>
      </c>
      <c r="B369" s="1" t="s">
        <v>767</v>
      </c>
      <c r="C369" s="1">
        <v>40</v>
      </c>
      <c r="D369" s="1" t="s">
        <v>23</v>
      </c>
      <c r="E369" s="1" t="s">
        <v>38</v>
      </c>
      <c r="F369" s="1" t="s">
        <v>39</v>
      </c>
      <c r="G369" s="9">
        <v>461680.34</v>
      </c>
      <c r="H369" s="1">
        <v>1379179.57</v>
      </c>
      <c r="I369" s="1">
        <v>479</v>
      </c>
      <c r="J369" s="1">
        <v>335</v>
      </c>
      <c r="K369" s="1">
        <v>223100</v>
      </c>
      <c r="L369" s="1" t="s">
        <v>26</v>
      </c>
      <c r="M369" s="1" t="s">
        <v>20</v>
      </c>
      <c r="N369" s="1">
        <v>3.4</v>
      </c>
    </row>
    <row r="370" spans="1:14" x14ac:dyDescent="0.3">
      <c r="A370" s="1" t="s">
        <v>768</v>
      </c>
      <c r="B370" s="1" t="s">
        <v>769</v>
      </c>
      <c r="C370" s="1">
        <v>64</v>
      </c>
      <c r="D370" s="1" t="s">
        <v>23</v>
      </c>
      <c r="E370" s="1" t="s">
        <v>24</v>
      </c>
      <c r="F370" s="1" t="s">
        <v>18</v>
      </c>
      <c r="G370" s="9">
        <v>1338697.25</v>
      </c>
      <c r="H370" s="1">
        <v>2123968.1800000002</v>
      </c>
      <c r="I370" s="1">
        <v>331</v>
      </c>
      <c r="J370" s="1">
        <v>421</v>
      </c>
      <c r="K370" s="1">
        <v>39765</v>
      </c>
      <c r="L370" s="1" t="s">
        <v>26</v>
      </c>
      <c r="M370" s="1" t="s">
        <v>33</v>
      </c>
      <c r="N370" s="1">
        <v>3.3</v>
      </c>
    </row>
    <row r="371" spans="1:14" x14ac:dyDescent="0.3">
      <c r="A371" s="1" t="s">
        <v>770</v>
      </c>
      <c r="B371" s="1" t="s">
        <v>771</v>
      </c>
      <c r="C371" s="1">
        <v>59</v>
      </c>
      <c r="D371" s="1" t="s">
        <v>16</v>
      </c>
      <c r="E371" s="1" t="s">
        <v>17</v>
      </c>
      <c r="F371" s="1" t="s">
        <v>81</v>
      </c>
      <c r="G371" s="9">
        <v>227206.31</v>
      </c>
      <c r="H371" s="1">
        <v>981245.86</v>
      </c>
      <c r="I371" s="1">
        <v>597</v>
      </c>
      <c r="J371" s="1">
        <v>73</v>
      </c>
      <c r="K371" s="1">
        <v>223213</v>
      </c>
      <c r="L371" s="1" t="s">
        <v>19</v>
      </c>
      <c r="M371" s="1" t="s">
        <v>20</v>
      </c>
      <c r="N371" s="1">
        <v>2.9</v>
      </c>
    </row>
    <row r="372" spans="1:14" x14ac:dyDescent="0.3">
      <c r="A372" s="1" t="s">
        <v>772</v>
      </c>
      <c r="B372" s="1" t="s">
        <v>773</v>
      </c>
      <c r="C372" s="1">
        <v>69</v>
      </c>
      <c r="D372" s="1" t="s">
        <v>16</v>
      </c>
      <c r="E372" s="1" t="s">
        <v>45</v>
      </c>
      <c r="F372" s="1" t="s">
        <v>81</v>
      </c>
      <c r="G372" s="9">
        <v>1027821.68</v>
      </c>
      <c r="H372" s="1">
        <v>1893015.18</v>
      </c>
      <c r="I372" s="1">
        <v>443</v>
      </c>
      <c r="J372" s="1">
        <v>233</v>
      </c>
      <c r="K372" s="1">
        <v>180965</v>
      </c>
      <c r="L372" s="1" t="s">
        <v>19</v>
      </c>
      <c r="M372" s="1" t="s">
        <v>20</v>
      </c>
      <c r="N372" s="1">
        <v>1.6</v>
      </c>
    </row>
    <row r="373" spans="1:14" x14ac:dyDescent="0.3">
      <c r="A373" s="1" t="s">
        <v>774</v>
      </c>
      <c r="B373" s="1" t="s">
        <v>775</v>
      </c>
      <c r="C373" s="1">
        <v>66</v>
      </c>
      <c r="D373" s="1" t="s">
        <v>23</v>
      </c>
      <c r="E373" s="1" t="s">
        <v>17</v>
      </c>
      <c r="F373" s="1" t="s">
        <v>25</v>
      </c>
      <c r="G373" s="9">
        <v>351466.11</v>
      </c>
      <c r="H373" s="1">
        <v>660892.79</v>
      </c>
      <c r="I373" s="1">
        <v>539</v>
      </c>
      <c r="J373" s="1">
        <v>26</v>
      </c>
      <c r="K373" s="1">
        <v>147832</v>
      </c>
      <c r="L373" s="1" t="s">
        <v>30</v>
      </c>
      <c r="M373" s="1" t="s">
        <v>20</v>
      </c>
      <c r="N373" s="1">
        <v>3.7</v>
      </c>
    </row>
    <row r="374" spans="1:14" x14ac:dyDescent="0.3">
      <c r="A374" s="1" t="s">
        <v>776</v>
      </c>
      <c r="B374" s="1" t="s">
        <v>777</v>
      </c>
      <c r="C374" s="1">
        <v>20</v>
      </c>
      <c r="D374" s="1" t="s">
        <v>23</v>
      </c>
      <c r="E374" s="1" t="s">
        <v>38</v>
      </c>
      <c r="F374" s="1" t="s">
        <v>25</v>
      </c>
      <c r="G374" s="9">
        <v>489486.31</v>
      </c>
      <c r="H374" s="1">
        <v>1759340.63</v>
      </c>
      <c r="I374" s="1">
        <v>833</v>
      </c>
      <c r="J374" s="1">
        <v>329</v>
      </c>
      <c r="K374" s="1">
        <v>190006</v>
      </c>
      <c r="L374" s="1" t="s">
        <v>30</v>
      </c>
      <c r="M374" s="1" t="s">
        <v>33</v>
      </c>
      <c r="N374" s="1">
        <v>4.3</v>
      </c>
    </row>
    <row r="375" spans="1:14" x14ac:dyDescent="0.3">
      <c r="A375" s="1" t="s">
        <v>778</v>
      </c>
      <c r="B375" s="1" t="s">
        <v>779</v>
      </c>
      <c r="C375" s="1">
        <v>55</v>
      </c>
      <c r="D375" s="1" t="s">
        <v>16</v>
      </c>
      <c r="E375" s="1" t="s">
        <v>17</v>
      </c>
      <c r="F375" s="1" t="s">
        <v>81</v>
      </c>
      <c r="G375" s="9">
        <v>1347848.79</v>
      </c>
      <c r="H375" s="1">
        <v>194593.68</v>
      </c>
      <c r="I375" s="1">
        <v>557</v>
      </c>
      <c r="J375" s="1">
        <v>197</v>
      </c>
      <c r="K375" s="1">
        <v>191268</v>
      </c>
      <c r="L375" s="1" t="s">
        <v>26</v>
      </c>
      <c r="M375" s="1" t="s">
        <v>33</v>
      </c>
      <c r="N375" s="1">
        <v>4.9000000000000004</v>
      </c>
    </row>
    <row r="376" spans="1:14" x14ac:dyDescent="0.3">
      <c r="A376" s="1" t="s">
        <v>780</v>
      </c>
      <c r="B376" s="1" t="s">
        <v>781</v>
      </c>
      <c r="C376" s="1">
        <v>68</v>
      </c>
      <c r="D376" s="1" t="s">
        <v>16</v>
      </c>
      <c r="E376" s="1" t="s">
        <v>55</v>
      </c>
      <c r="F376" s="1" t="s">
        <v>39</v>
      </c>
      <c r="G376" s="9">
        <v>1331322.06</v>
      </c>
      <c r="H376" s="1">
        <v>16494.22</v>
      </c>
      <c r="I376" s="1">
        <v>442</v>
      </c>
      <c r="J376" s="1">
        <v>230</v>
      </c>
      <c r="K376" s="1">
        <v>146382</v>
      </c>
      <c r="L376" s="1" t="s">
        <v>40</v>
      </c>
      <c r="M376" s="1" t="s">
        <v>20</v>
      </c>
      <c r="N376" s="1">
        <v>1.7</v>
      </c>
    </row>
    <row r="377" spans="1:14" x14ac:dyDescent="0.3">
      <c r="A377" s="1" t="s">
        <v>782</v>
      </c>
      <c r="B377" s="1" t="s">
        <v>783</v>
      </c>
      <c r="C377" s="1">
        <v>28</v>
      </c>
      <c r="D377" s="1" t="s">
        <v>16</v>
      </c>
      <c r="E377" s="1" t="s">
        <v>45</v>
      </c>
      <c r="F377" s="1" t="s">
        <v>25</v>
      </c>
      <c r="G377" s="9">
        <v>905020.31</v>
      </c>
      <c r="H377" s="1">
        <v>2042387.69</v>
      </c>
      <c r="I377" s="1">
        <v>535</v>
      </c>
      <c r="J377" s="1">
        <v>217</v>
      </c>
      <c r="K377" s="1">
        <v>114954</v>
      </c>
      <c r="L377" s="1" t="s">
        <v>30</v>
      </c>
      <c r="M377" s="1" t="s">
        <v>20</v>
      </c>
      <c r="N377" s="1">
        <v>4.2</v>
      </c>
    </row>
    <row r="378" spans="1:14" x14ac:dyDescent="0.3">
      <c r="A378" s="1" t="s">
        <v>784</v>
      </c>
      <c r="B378" s="1" t="s">
        <v>785</v>
      </c>
      <c r="C378" s="1">
        <v>55</v>
      </c>
      <c r="D378" s="1" t="s">
        <v>16</v>
      </c>
      <c r="E378" s="1" t="s">
        <v>38</v>
      </c>
      <c r="F378" s="1" t="s">
        <v>18</v>
      </c>
      <c r="G378" s="9">
        <v>972652.56</v>
      </c>
      <c r="H378" s="1">
        <v>1027248.02</v>
      </c>
      <c r="I378" s="1">
        <v>549</v>
      </c>
      <c r="J378" s="1">
        <v>27</v>
      </c>
      <c r="K378" s="1">
        <v>62269</v>
      </c>
      <c r="L378" s="1" t="s">
        <v>40</v>
      </c>
      <c r="M378" s="1" t="s">
        <v>20</v>
      </c>
      <c r="N378" s="1">
        <v>1.5</v>
      </c>
    </row>
    <row r="379" spans="1:14" x14ac:dyDescent="0.3">
      <c r="A379" s="1" t="s">
        <v>786</v>
      </c>
      <c r="B379" s="1" t="s">
        <v>787</v>
      </c>
      <c r="C379" s="1">
        <v>28</v>
      </c>
      <c r="D379" s="1" t="s">
        <v>16</v>
      </c>
      <c r="E379" s="1" t="s">
        <v>55</v>
      </c>
      <c r="F379" s="1" t="s">
        <v>18</v>
      </c>
      <c r="G379" s="9">
        <v>1384058.07</v>
      </c>
      <c r="H379" s="1">
        <v>1291601.73</v>
      </c>
      <c r="I379" s="1">
        <v>715</v>
      </c>
      <c r="J379" s="1">
        <v>311</v>
      </c>
      <c r="K379" s="1">
        <v>87701</v>
      </c>
      <c r="L379" s="1" t="s">
        <v>40</v>
      </c>
      <c r="M379" s="1" t="s">
        <v>33</v>
      </c>
      <c r="N379" s="1">
        <v>4.9000000000000004</v>
      </c>
    </row>
    <row r="380" spans="1:14" x14ac:dyDescent="0.3">
      <c r="A380" s="1" t="s">
        <v>788</v>
      </c>
      <c r="B380" s="1" t="s">
        <v>789</v>
      </c>
      <c r="C380" s="1">
        <v>56</v>
      </c>
      <c r="D380" s="1" t="s">
        <v>16</v>
      </c>
      <c r="E380" s="1" t="s">
        <v>55</v>
      </c>
      <c r="F380" s="1" t="s">
        <v>39</v>
      </c>
      <c r="G380" s="9">
        <v>1301617.0900000001</v>
      </c>
      <c r="H380" s="1">
        <v>426416.96</v>
      </c>
      <c r="I380" s="1">
        <v>720</v>
      </c>
      <c r="J380" s="1">
        <v>312</v>
      </c>
      <c r="K380" s="1">
        <v>143578</v>
      </c>
      <c r="L380" s="1" t="s">
        <v>26</v>
      </c>
      <c r="M380" s="1" t="s">
        <v>33</v>
      </c>
      <c r="N380" s="1">
        <v>1.6</v>
      </c>
    </row>
    <row r="381" spans="1:14" x14ac:dyDescent="0.3">
      <c r="A381" s="1" t="s">
        <v>790</v>
      </c>
      <c r="B381" s="1" t="s">
        <v>791</v>
      </c>
      <c r="C381" s="1">
        <v>56</v>
      </c>
      <c r="D381" s="1" t="s">
        <v>23</v>
      </c>
      <c r="E381" s="1" t="s">
        <v>38</v>
      </c>
      <c r="F381" s="1" t="s">
        <v>18</v>
      </c>
      <c r="G381" s="9">
        <v>107920.13</v>
      </c>
      <c r="H381" s="1">
        <v>945528.38</v>
      </c>
      <c r="I381" s="1">
        <v>435</v>
      </c>
      <c r="J381" s="1">
        <v>60</v>
      </c>
      <c r="K381" s="1">
        <v>174821</v>
      </c>
      <c r="L381" s="1" t="s">
        <v>40</v>
      </c>
      <c r="M381" s="1" t="s">
        <v>33</v>
      </c>
      <c r="N381" s="1">
        <v>1.1000000000000001</v>
      </c>
    </row>
    <row r="382" spans="1:14" x14ac:dyDescent="0.3">
      <c r="A382" s="1" t="s">
        <v>792</v>
      </c>
      <c r="B382" s="1" t="s">
        <v>793</v>
      </c>
      <c r="C382" s="1">
        <v>57</v>
      </c>
      <c r="D382" s="1" t="s">
        <v>23</v>
      </c>
      <c r="E382" s="1" t="s">
        <v>38</v>
      </c>
      <c r="F382" s="1" t="s">
        <v>18</v>
      </c>
      <c r="G382" s="9">
        <v>63359.66</v>
      </c>
      <c r="H382" s="1">
        <v>1959670.59</v>
      </c>
      <c r="I382" s="1">
        <v>815</v>
      </c>
      <c r="J382" s="1">
        <v>390</v>
      </c>
      <c r="K382" s="1">
        <v>177237</v>
      </c>
      <c r="L382" s="1" t="s">
        <v>30</v>
      </c>
      <c r="M382" s="1" t="s">
        <v>33</v>
      </c>
      <c r="N382" s="1">
        <v>1.5</v>
      </c>
    </row>
    <row r="383" spans="1:14" x14ac:dyDescent="0.3">
      <c r="A383" s="1" t="s">
        <v>794</v>
      </c>
      <c r="B383" s="1" t="s">
        <v>795</v>
      </c>
      <c r="C383" s="1">
        <v>41</v>
      </c>
      <c r="D383" s="1" t="s">
        <v>23</v>
      </c>
      <c r="E383" s="1" t="s">
        <v>48</v>
      </c>
      <c r="F383" s="1" t="s">
        <v>18</v>
      </c>
      <c r="G383" s="9">
        <v>69940.23</v>
      </c>
      <c r="H383" s="1">
        <v>1324541.3</v>
      </c>
      <c r="I383" s="1">
        <v>534</v>
      </c>
      <c r="J383" s="1">
        <v>485</v>
      </c>
      <c r="K383" s="1">
        <v>249329</v>
      </c>
      <c r="L383" s="1" t="s">
        <v>30</v>
      </c>
      <c r="M383" s="1" t="s">
        <v>20</v>
      </c>
      <c r="N383" s="1">
        <v>4.2</v>
      </c>
    </row>
    <row r="384" spans="1:14" x14ac:dyDescent="0.3">
      <c r="A384" s="1" t="s">
        <v>796</v>
      </c>
      <c r="B384" s="1" t="s">
        <v>797</v>
      </c>
      <c r="C384" s="1">
        <v>34</v>
      </c>
      <c r="D384" s="1" t="s">
        <v>23</v>
      </c>
      <c r="E384" s="1" t="s">
        <v>55</v>
      </c>
      <c r="F384" s="1" t="s">
        <v>39</v>
      </c>
      <c r="G384" s="9">
        <v>1149959.04</v>
      </c>
      <c r="H384" s="1">
        <v>2275213.39</v>
      </c>
      <c r="I384" s="1">
        <v>385</v>
      </c>
      <c r="J384" s="1">
        <v>150</v>
      </c>
      <c r="K384" s="1">
        <v>145079</v>
      </c>
      <c r="L384" s="1" t="s">
        <v>19</v>
      </c>
      <c r="M384" s="1" t="s">
        <v>20</v>
      </c>
      <c r="N384" s="1">
        <v>3.4</v>
      </c>
    </row>
    <row r="385" spans="1:14" x14ac:dyDescent="0.3">
      <c r="A385" s="1" t="s">
        <v>798</v>
      </c>
      <c r="B385" s="1" t="s">
        <v>799</v>
      </c>
      <c r="C385" s="1">
        <v>54</v>
      </c>
      <c r="D385" s="1" t="s">
        <v>23</v>
      </c>
      <c r="E385" s="1" t="s">
        <v>48</v>
      </c>
      <c r="F385" s="1" t="s">
        <v>18</v>
      </c>
      <c r="G385" s="9">
        <v>181153.76</v>
      </c>
      <c r="H385" s="1">
        <v>17985.13</v>
      </c>
      <c r="I385" s="1">
        <v>510</v>
      </c>
      <c r="J385" s="1">
        <v>357</v>
      </c>
      <c r="K385" s="1">
        <v>156980</v>
      </c>
      <c r="L385" s="1" t="s">
        <v>40</v>
      </c>
      <c r="M385" s="1" t="s">
        <v>33</v>
      </c>
      <c r="N385" s="1">
        <v>4.2</v>
      </c>
    </row>
    <row r="386" spans="1:14" x14ac:dyDescent="0.3">
      <c r="A386" s="1" t="s">
        <v>800</v>
      </c>
      <c r="B386" s="1" t="s">
        <v>801</v>
      </c>
      <c r="C386" s="1">
        <v>59</v>
      </c>
      <c r="D386" s="1" t="s">
        <v>23</v>
      </c>
      <c r="E386" s="1" t="s">
        <v>17</v>
      </c>
      <c r="F386" s="1" t="s">
        <v>39</v>
      </c>
      <c r="G386" s="9">
        <v>384180.93</v>
      </c>
      <c r="H386" s="1">
        <v>2137442.3199999998</v>
      </c>
      <c r="I386" s="1">
        <v>733</v>
      </c>
      <c r="J386" s="1">
        <v>294</v>
      </c>
      <c r="K386" s="1">
        <v>173451</v>
      </c>
      <c r="L386" s="1" t="s">
        <v>30</v>
      </c>
      <c r="M386" s="1" t="s">
        <v>33</v>
      </c>
      <c r="N386" s="1">
        <v>2.5</v>
      </c>
    </row>
    <row r="387" spans="1:14" x14ac:dyDescent="0.3">
      <c r="A387" s="1" t="s">
        <v>802</v>
      </c>
      <c r="B387" s="1" t="s">
        <v>803</v>
      </c>
      <c r="C387" s="1">
        <v>29</v>
      </c>
      <c r="D387" s="1" t="s">
        <v>23</v>
      </c>
      <c r="E387" s="1" t="s">
        <v>38</v>
      </c>
      <c r="F387" s="1" t="s">
        <v>18</v>
      </c>
      <c r="G387" s="9">
        <v>840845.28</v>
      </c>
      <c r="H387" s="1">
        <v>1209400.3899999999</v>
      </c>
      <c r="I387" s="1">
        <v>614</v>
      </c>
      <c r="J387" s="1">
        <v>300</v>
      </c>
      <c r="K387" s="1">
        <v>117049</v>
      </c>
      <c r="L387" s="1" t="s">
        <v>40</v>
      </c>
      <c r="M387" s="1" t="s">
        <v>33</v>
      </c>
      <c r="N387" s="1">
        <v>2.4</v>
      </c>
    </row>
    <row r="388" spans="1:14" x14ac:dyDescent="0.3">
      <c r="A388" s="1" t="s">
        <v>804</v>
      </c>
      <c r="B388" s="1" t="s">
        <v>805</v>
      </c>
      <c r="C388" s="1">
        <v>68</v>
      </c>
      <c r="D388" s="1" t="s">
        <v>16</v>
      </c>
      <c r="E388" s="1" t="s">
        <v>38</v>
      </c>
      <c r="F388" s="1" t="s">
        <v>25</v>
      </c>
      <c r="G388" s="9">
        <v>1424121.54</v>
      </c>
      <c r="H388" s="1">
        <v>250696.54</v>
      </c>
      <c r="I388" s="1">
        <v>820</v>
      </c>
      <c r="J388" s="1">
        <v>210</v>
      </c>
      <c r="K388" s="1">
        <v>203320</v>
      </c>
      <c r="L388" s="1" t="s">
        <v>19</v>
      </c>
      <c r="M388" s="1" t="s">
        <v>20</v>
      </c>
      <c r="N388" s="1">
        <v>4.0999999999999996</v>
      </c>
    </row>
    <row r="389" spans="1:14" x14ac:dyDescent="0.3">
      <c r="A389" s="1" t="s">
        <v>806</v>
      </c>
      <c r="B389" s="1" t="s">
        <v>807</v>
      </c>
      <c r="C389" s="1">
        <v>70</v>
      </c>
      <c r="D389" s="1" t="s">
        <v>23</v>
      </c>
      <c r="E389" s="1" t="s">
        <v>29</v>
      </c>
      <c r="F389" s="1" t="s">
        <v>18</v>
      </c>
      <c r="G389" s="9">
        <v>710144.65</v>
      </c>
      <c r="H389" s="1">
        <v>1500613.6</v>
      </c>
      <c r="I389" s="1">
        <v>390</v>
      </c>
      <c r="J389" s="1">
        <v>37</v>
      </c>
      <c r="K389" s="1">
        <v>58096</v>
      </c>
      <c r="L389" s="1" t="s">
        <v>30</v>
      </c>
      <c r="M389" s="1" t="s">
        <v>33</v>
      </c>
      <c r="N389" s="1">
        <v>2.1</v>
      </c>
    </row>
    <row r="390" spans="1:14" x14ac:dyDescent="0.3">
      <c r="A390" s="1" t="s">
        <v>808</v>
      </c>
      <c r="B390" s="1" t="s">
        <v>809</v>
      </c>
      <c r="C390" s="1">
        <v>57</v>
      </c>
      <c r="D390" s="1" t="s">
        <v>16</v>
      </c>
      <c r="E390" s="1" t="s">
        <v>45</v>
      </c>
      <c r="F390" s="1" t="s">
        <v>25</v>
      </c>
      <c r="G390" s="9">
        <v>783903.29</v>
      </c>
      <c r="H390" s="1">
        <v>1779014.58</v>
      </c>
      <c r="I390" s="1">
        <v>358</v>
      </c>
      <c r="J390" s="1">
        <v>489</v>
      </c>
      <c r="K390" s="1">
        <v>192012</v>
      </c>
      <c r="L390" s="1" t="s">
        <v>19</v>
      </c>
      <c r="M390" s="1" t="s">
        <v>20</v>
      </c>
      <c r="N390" s="1">
        <v>4.0999999999999996</v>
      </c>
    </row>
    <row r="391" spans="1:14" x14ac:dyDescent="0.3">
      <c r="A391" s="1" t="s">
        <v>810</v>
      </c>
      <c r="B391" s="1" t="s">
        <v>811</v>
      </c>
      <c r="C391" s="1">
        <v>60</v>
      </c>
      <c r="D391" s="1" t="s">
        <v>16</v>
      </c>
      <c r="E391" s="1" t="s">
        <v>76</v>
      </c>
      <c r="F391" s="1" t="s">
        <v>81</v>
      </c>
      <c r="G391" s="9">
        <v>779639.16</v>
      </c>
      <c r="H391" s="1">
        <v>486866.24</v>
      </c>
      <c r="I391" s="1">
        <v>822</v>
      </c>
      <c r="J391" s="1">
        <v>269</v>
      </c>
      <c r="K391" s="1">
        <v>230740</v>
      </c>
      <c r="L391" s="1" t="s">
        <v>40</v>
      </c>
      <c r="M391" s="1" t="s">
        <v>20</v>
      </c>
      <c r="N391" s="1">
        <v>3.8</v>
      </c>
    </row>
    <row r="392" spans="1:14" x14ac:dyDescent="0.3">
      <c r="A392" s="1" t="s">
        <v>812</v>
      </c>
      <c r="B392" s="1" t="s">
        <v>813</v>
      </c>
      <c r="C392" s="1">
        <v>28</v>
      </c>
      <c r="D392" s="1" t="s">
        <v>16</v>
      </c>
      <c r="E392" s="1" t="s">
        <v>76</v>
      </c>
      <c r="F392" s="1" t="s">
        <v>18</v>
      </c>
      <c r="G392" s="9">
        <v>1495241.63</v>
      </c>
      <c r="H392" s="1">
        <v>1949182.2</v>
      </c>
      <c r="I392" s="1">
        <v>661</v>
      </c>
      <c r="J392" s="1">
        <v>347</v>
      </c>
      <c r="K392" s="1">
        <v>42765</v>
      </c>
      <c r="L392" s="1" t="s">
        <v>19</v>
      </c>
      <c r="M392" s="1" t="s">
        <v>33</v>
      </c>
      <c r="N392" s="1">
        <v>2.6</v>
      </c>
    </row>
    <row r="393" spans="1:14" x14ac:dyDescent="0.3">
      <c r="A393" s="1" t="s">
        <v>814</v>
      </c>
      <c r="B393" s="1" t="s">
        <v>815</v>
      </c>
      <c r="C393" s="1">
        <v>64</v>
      </c>
      <c r="D393" s="1" t="s">
        <v>16</v>
      </c>
      <c r="E393" s="1" t="s">
        <v>24</v>
      </c>
      <c r="F393" s="1" t="s">
        <v>25</v>
      </c>
      <c r="G393" s="9">
        <v>840875.23</v>
      </c>
      <c r="H393" s="1">
        <v>1457331.04</v>
      </c>
      <c r="I393" s="1">
        <v>655</v>
      </c>
      <c r="J393" s="1">
        <v>498</v>
      </c>
      <c r="K393" s="1">
        <v>237517</v>
      </c>
      <c r="L393" s="1" t="s">
        <v>30</v>
      </c>
      <c r="M393" s="1" t="s">
        <v>20</v>
      </c>
      <c r="N393" s="1">
        <v>4.3</v>
      </c>
    </row>
    <row r="394" spans="1:14" x14ac:dyDescent="0.3">
      <c r="A394" s="1" t="s">
        <v>816</v>
      </c>
      <c r="B394" s="1" t="s">
        <v>817</v>
      </c>
      <c r="C394" s="1">
        <v>34</v>
      </c>
      <c r="D394" s="1" t="s">
        <v>16</v>
      </c>
      <c r="E394" s="1" t="s">
        <v>55</v>
      </c>
      <c r="F394" s="1" t="s">
        <v>81</v>
      </c>
      <c r="G394" s="9">
        <v>613666.27</v>
      </c>
      <c r="H394" s="1">
        <v>266162.39</v>
      </c>
      <c r="I394" s="1">
        <v>374</v>
      </c>
      <c r="J394" s="1">
        <v>262</v>
      </c>
      <c r="K394" s="1">
        <v>65884</v>
      </c>
      <c r="L394" s="1" t="s">
        <v>30</v>
      </c>
      <c r="M394" s="1" t="s">
        <v>33</v>
      </c>
      <c r="N394" s="1">
        <v>2.2000000000000002</v>
      </c>
    </row>
    <row r="395" spans="1:14" x14ac:dyDescent="0.3">
      <c r="A395" s="1" t="s">
        <v>818</v>
      </c>
      <c r="B395" s="1" t="s">
        <v>819</v>
      </c>
      <c r="C395" s="1">
        <v>54</v>
      </c>
      <c r="D395" s="1" t="s">
        <v>16</v>
      </c>
      <c r="E395" s="1" t="s">
        <v>45</v>
      </c>
      <c r="F395" s="1" t="s">
        <v>18</v>
      </c>
      <c r="G395" s="9">
        <v>1156100.95</v>
      </c>
      <c r="H395" s="1">
        <v>1893683.21</v>
      </c>
      <c r="I395" s="1">
        <v>769</v>
      </c>
      <c r="J395" s="1">
        <v>353</v>
      </c>
      <c r="K395" s="1">
        <v>146780</v>
      </c>
      <c r="L395" s="1" t="s">
        <v>26</v>
      </c>
      <c r="M395" s="1" t="s">
        <v>20</v>
      </c>
      <c r="N395" s="1">
        <v>2.8</v>
      </c>
    </row>
    <row r="396" spans="1:14" x14ac:dyDescent="0.3">
      <c r="A396" s="1" t="s">
        <v>820</v>
      </c>
      <c r="B396" s="1" t="s">
        <v>821</v>
      </c>
      <c r="C396" s="1">
        <v>42</v>
      </c>
      <c r="D396" s="1" t="s">
        <v>23</v>
      </c>
      <c r="E396" s="1" t="s">
        <v>76</v>
      </c>
      <c r="F396" s="1" t="s">
        <v>81</v>
      </c>
      <c r="G396" s="9">
        <v>1184040.75</v>
      </c>
      <c r="H396" s="1">
        <v>550955.81000000006</v>
      </c>
      <c r="I396" s="1">
        <v>535</v>
      </c>
      <c r="J396" s="1">
        <v>414</v>
      </c>
      <c r="K396" s="1">
        <v>186110</v>
      </c>
      <c r="L396" s="1" t="s">
        <v>40</v>
      </c>
      <c r="M396" s="1" t="s">
        <v>33</v>
      </c>
      <c r="N396" s="1">
        <v>2.2999999999999998</v>
      </c>
    </row>
    <row r="397" spans="1:14" x14ac:dyDescent="0.3">
      <c r="A397" s="1" t="s">
        <v>822</v>
      </c>
      <c r="B397" s="1" t="s">
        <v>823</v>
      </c>
      <c r="C397" s="1">
        <v>23</v>
      </c>
      <c r="D397" s="1" t="s">
        <v>23</v>
      </c>
      <c r="E397" s="1" t="s">
        <v>48</v>
      </c>
      <c r="F397" s="1" t="s">
        <v>81</v>
      </c>
      <c r="G397" s="9">
        <v>1012178.39</v>
      </c>
      <c r="H397" s="1">
        <v>2052686.72</v>
      </c>
      <c r="I397" s="1">
        <v>377</v>
      </c>
      <c r="J397" s="1">
        <v>288</v>
      </c>
      <c r="K397" s="1">
        <v>124577</v>
      </c>
      <c r="L397" s="1" t="s">
        <v>40</v>
      </c>
      <c r="M397" s="1" t="s">
        <v>33</v>
      </c>
      <c r="N397" s="1">
        <v>4.7</v>
      </c>
    </row>
    <row r="398" spans="1:14" x14ac:dyDescent="0.3">
      <c r="A398" s="1" t="s">
        <v>824</v>
      </c>
      <c r="B398" s="1" t="s">
        <v>825</v>
      </c>
      <c r="C398" s="1">
        <v>29</v>
      </c>
      <c r="D398" s="1" t="s">
        <v>16</v>
      </c>
      <c r="E398" s="1" t="s">
        <v>55</v>
      </c>
      <c r="F398" s="1" t="s">
        <v>39</v>
      </c>
      <c r="G398" s="9">
        <v>1026245.43</v>
      </c>
      <c r="H398" s="1">
        <v>2274818.65</v>
      </c>
      <c r="I398" s="1">
        <v>810</v>
      </c>
      <c r="J398" s="1">
        <v>382</v>
      </c>
      <c r="K398" s="1">
        <v>215600</v>
      </c>
      <c r="L398" s="1" t="s">
        <v>40</v>
      </c>
      <c r="M398" s="1" t="s">
        <v>20</v>
      </c>
      <c r="N398" s="1">
        <v>1.8</v>
      </c>
    </row>
    <row r="399" spans="1:14" x14ac:dyDescent="0.3">
      <c r="A399" s="1" t="s">
        <v>826</v>
      </c>
      <c r="B399" s="1" t="s">
        <v>827</v>
      </c>
      <c r="C399" s="1">
        <v>33</v>
      </c>
      <c r="D399" s="1" t="s">
        <v>23</v>
      </c>
      <c r="E399" s="1" t="s">
        <v>76</v>
      </c>
      <c r="F399" s="1" t="s">
        <v>18</v>
      </c>
      <c r="G399" s="9">
        <v>929802.36</v>
      </c>
      <c r="H399" s="1">
        <v>389988.92</v>
      </c>
      <c r="I399" s="1">
        <v>409</v>
      </c>
      <c r="J399" s="1">
        <v>66</v>
      </c>
      <c r="K399" s="1">
        <v>239240</v>
      </c>
      <c r="L399" s="1" t="s">
        <v>30</v>
      </c>
      <c r="M399" s="1" t="s">
        <v>33</v>
      </c>
      <c r="N399" s="1">
        <v>4.7</v>
      </c>
    </row>
    <row r="400" spans="1:14" x14ac:dyDescent="0.3">
      <c r="A400" s="1" t="s">
        <v>828</v>
      </c>
      <c r="B400" s="1" t="s">
        <v>829</v>
      </c>
      <c r="C400" s="1">
        <v>57</v>
      </c>
      <c r="D400" s="1" t="s">
        <v>16</v>
      </c>
      <c r="E400" s="1" t="s">
        <v>55</v>
      </c>
      <c r="F400" s="1" t="s">
        <v>25</v>
      </c>
      <c r="G400" s="9">
        <v>741048.86</v>
      </c>
      <c r="H400" s="1">
        <v>2463403.3199999998</v>
      </c>
      <c r="I400" s="1">
        <v>888</v>
      </c>
      <c r="J400" s="1">
        <v>449</v>
      </c>
      <c r="K400" s="1">
        <v>102684</v>
      </c>
      <c r="L400" s="1" t="s">
        <v>40</v>
      </c>
      <c r="M400" s="1" t="s">
        <v>20</v>
      </c>
      <c r="N400" s="1">
        <v>2.1</v>
      </c>
    </row>
    <row r="401" spans="1:14" x14ac:dyDescent="0.3">
      <c r="A401" s="1" t="s">
        <v>830</v>
      </c>
      <c r="B401" s="1" t="s">
        <v>831</v>
      </c>
      <c r="C401" s="1">
        <v>21</v>
      </c>
      <c r="D401" s="1" t="s">
        <v>23</v>
      </c>
      <c r="E401" s="1" t="s">
        <v>38</v>
      </c>
      <c r="F401" s="1" t="s">
        <v>25</v>
      </c>
      <c r="G401" s="9">
        <v>1199908.53</v>
      </c>
      <c r="H401" s="1">
        <v>1195800.19</v>
      </c>
      <c r="I401" s="1">
        <v>853</v>
      </c>
      <c r="J401" s="1">
        <v>21</v>
      </c>
      <c r="K401" s="1">
        <v>157818</v>
      </c>
      <c r="L401" s="1" t="s">
        <v>19</v>
      </c>
      <c r="M401" s="1" t="s">
        <v>33</v>
      </c>
      <c r="N401" s="1">
        <v>3</v>
      </c>
    </row>
    <row r="402" spans="1:14" x14ac:dyDescent="0.3">
      <c r="A402" s="1" t="s">
        <v>832</v>
      </c>
      <c r="B402" s="1" t="s">
        <v>833</v>
      </c>
      <c r="C402" s="1">
        <v>38</v>
      </c>
      <c r="D402" s="1" t="s">
        <v>23</v>
      </c>
      <c r="E402" s="1" t="s">
        <v>55</v>
      </c>
      <c r="F402" s="1" t="s">
        <v>39</v>
      </c>
      <c r="G402" s="9">
        <v>17585.810000000001</v>
      </c>
      <c r="H402" s="1">
        <v>1685257.65</v>
      </c>
      <c r="I402" s="1">
        <v>688</v>
      </c>
      <c r="J402" s="1">
        <v>302</v>
      </c>
      <c r="K402" s="1">
        <v>200672</v>
      </c>
      <c r="L402" s="1" t="s">
        <v>26</v>
      </c>
      <c r="M402" s="1" t="s">
        <v>20</v>
      </c>
      <c r="N402" s="1">
        <v>1.4</v>
      </c>
    </row>
    <row r="403" spans="1:14" x14ac:dyDescent="0.3">
      <c r="A403" s="1" t="s">
        <v>834</v>
      </c>
      <c r="B403" s="1" t="s">
        <v>835</v>
      </c>
      <c r="C403" s="1">
        <v>35</v>
      </c>
      <c r="D403" s="1" t="s">
        <v>23</v>
      </c>
      <c r="E403" s="1" t="s">
        <v>48</v>
      </c>
      <c r="F403" s="1" t="s">
        <v>81</v>
      </c>
      <c r="G403" s="9">
        <v>1437997.59</v>
      </c>
      <c r="H403" s="1">
        <v>857741.15</v>
      </c>
      <c r="I403" s="1">
        <v>488</v>
      </c>
      <c r="J403" s="1">
        <v>260</v>
      </c>
      <c r="K403" s="1">
        <v>143560</v>
      </c>
      <c r="L403" s="1" t="s">
        <v>30</v>
      </c>
      <c r="M403" s="1" t="s">
        <v>33</v>
      </c>
      <c r="N403" s="1">
        <v>2.7</v>
      </c>
    </row>
    <row r="404" spans="1:14" x14ac:dyDescent="0.3">
      <c r="A404" s="1" t="s">
        <v>836</v>
      </c>
      <c r="B404" s="1" t="s">
        <v>837</v>
      </c>
      <c r="C404" s="1">
        <v>46</v>
      </c>
      <c r="D404" s="1" t="s">
        <v>23</v>
      </c>
      <c r="E404" s="1" t="s">
        <v>24</v>
      </c>
      <c r="F404" s="1" t="s">
        <v>25</v>
      </c>
      <c r="G404" s="9">
        <v>859257.53</v>
      </c>
      <c r="H404" s="1">
        <v>2448181.13</v>
      </c>
      <c r="I404" s="1">
        <v>534</v>
      </c>
      <c r="J404" s="1">
        <v>421</v>
      </c>
      <c r="K404" s="1">
        <v>67156</v>
      </c>
      <c r="L404" s="1" t="s">
        <v>30</v>
      </c>
      <c r="M404" s="1" t="s">
        <v>20</v>
      </c>
      <c r="N404" s="1">
        <v>1.4</v>
      </c>
    </row>
    <row r="405" spans="1:14" x14ac:dyDescent="0.3">
      <c r="A405" s="1" t="s">
        <v>838</v>
      </c>
      <c r="B405" s="1" t="s">
        <v>839</v>
      </c>
      <c r="C405" s="1">
        <v>27</v>
      </c>
      <c r="D405" s="1" t="s">
        <v>16</v>
      </c>
      <c r="E405" s="1" t="s">
        <v>48</v>
      </c>
      <c r="F405" s="1" t="s">
        <v>25</v>
      </c>
      <c r="G405" s="9">
        <v>1438926.14</v>
      </c>
      <c r="H405" s="1">
        <v>373870.14</v>
      </c>
      <c r="I405" s="1">
        <v>309</v>
      </c>
      <c r="J405" s="1">
        <v>95</v>
      </c>
      <c r="K405" s="1">
        <v>229725</v>
      </c>
      <c r="L405" s="1" t="s">
        <v>26</v>
      </c>
      <c r="M405" s="1" t="s">
        <v>33</v>
      </c>
      <c r="N405" s="1">
        <v>2.7</v>
      </c>
    </row>
    <row r="406" spans="1:14" x14ac:dyDescent="0.3">
      <c r="A406" s="1" t="s">
        <v>840</v>
      </c>
      <c r="B406" s="1" t="s">
        <v>841</v>
      </c>
      <c r="C406" s="1">
        <v>53</v>
      </c>
      <c r="D406" s="1" t="s">
        <v>23</v>
      </c>
      <c r="E406" s="1" t="s">
        <v>45</v>
      </c>
      <c r="F406" s="1" t="s">
        <v>18</v>
      </c>
      <c r="G406" s="9">
        <v>853912.61</v>
      </c>
      <c r="H406" s="1">
        <v>996004.75</v>
      </c>
      <c r="I406" s="1">
        <v>467</v>
      </c>
      <c r="J406" s="1">
        <v>35</v>
      </c>
      <c r="K406" s="1">
        <v>245051</v>
      </c>
      <c r="L406" s="1" t="s">
        <v>30</v>
      </c>
      <c r="M406" s="1" t="s">
        <v>33</v>
      </c>
      <c r="N406" s="1">
        <v>1.9</v>
      </c>
    </row>
    <row r="407" spans="1:14" x14ac:dyDescent="0.3">
      <c r="A407" s="1" t="s">
        <v>842</v>
      </c>
      <c r="B407" s="1" t="s">
        <v>843</v>
      </c>
      <c r="C407" s="1">
        <v>34</v>
      </c>
      <c r="D407" s="1" t="s">
        <v>16</v>
      </c>
      <c r="E407" s="1" t="s">
        <v>48</v>
      </c>
      <c r="F407" s="1" t="s">
        <v>39</v>
      </c>
      <c r="G407" s="9">
        <v>543658.34</v>
      </c>
      <c r="H407" s="1">
        <v>1393728.72</v>
      </c>
      <c r="I407" s="1">
        <v>563</v>
      </c>
      <c r="J407" s="1">
        <v>181</v>
      </c>
      <c r="K407" s="1">
        <v>114624</v>
      </c>
      <c r="L407" s="1" t="s">
        <v>40</v>
      </c>
      <c r="M407" s="1" t="s">
        <v>33</v>
      </c>
      <c r="N407" s="1">
        <v>1.1000000000000001</v>
      </c>
    </row>
    <row r="408" spans="1:14" x14ac:dyDescent="0.3">
      <c r="A408" s="1" t="s">
        <v>844</v>
      </c>
      <c r="B408" s="1" t="s">
        <v>845</v>
      </c>
      <c r="C408" s="1">
        <v>40</v>
      </c>
      <c r="D408" s="1" t="s">
        <v>23</v>
      </c>
      <c r="E408" s="1" t="s">
        <v>45</v>
      </c>
      <c r="F408" s="1" t="s">
        <v>39</v>
      </c>
      <c r="G408" s="9">
        <v>1011423.3</v>
      </c>
      <c r="H408" s="1">
        <v>1218734.3600000001</v>
      </c>
      <c r="I408" s="1">
        <v>757</v>
      </c>
      <c r="J408" s="1">
        <v>460</v>
      </c>
      <c r="K408" s="1">
        <v>105220</v>
      </c>
      <c r="L408" s="1" t="s">
        <v>40</v>
      </c>
      <c r="M408" s="1" t="s">
        <v>33</v>
      </c>
      <c r="N408" s="1">
        <v>1.3</v>
      </c>
    </row>
    <row r="409" spans="1:14" x14ac:dyDescent="0.3">
      <c r="A409" s="1" t="s">
        <v>846</v>
      </c>
      <c r="B409" s="1" t="s">
        <v>847</v>
      </c>
      <c r="C409" s="1">
        <v>44</v>
      </c>
      <c r="D409" s="1" t="s">
        <v>16</v>
      </c>
      <c r="E409" s="1" t="s">
        <v>48</v>
      </c>
      <c r="F409" s="1" t="s">
        <v>81</v>
      </c>
      <c r="G409" s="9">
        <v>920403.66</v>
      </c>
      <c r="H409" s="1">
        <v>1011931.8</v>
      </c>
      <c r="I409" s="1">
        <v>373</v>
      </c>
      <c r="J409" s="1">
        <v>45</v>
      </c>
      <c r="K409" s="1">
        <v>185484</v>
      </c>
      <c r="L409" s="1" t="s">
        <v>26</v>
      </c>
      <c r="M409" s="1" t="s">
        <v>33</v>
      </c>
      <c r="N409" s="1">
        <v>1.6</v>
      </c>
    </row>
    <row r="410" spans="1:14" x14ac:dyDescent="0.3">
      <c r="A410" s="1" t="s">
        <v>848</v>
      </c>
      <c r="B410" s="1" t="s">
        <v>849</v>
      </c>
      <c r="C410" s="1">
        <v>56</v>
      </c>
      <c r="D410" s="1" t="s">
        <v>23</v>
      </c>
      <c r="E410" s="1" t="s">
        <v>17</v>
      </c>
      <c r="F410" s="1" t="s">
        <v>39</v>
      </c>
      <c r="G410" s="9">
        <v>596205.71</v>
      </c>
      <c r="H410" s="1">
        <v>2219229.52</v>
      </c>
      <c r="I410" s="1">
        <v>671</v>
      </c>
      <c r="J410" s="1">
        <v>387</v>
      </c>
      <c r="K410" s="1">
        <v>188989</v>
      </c>
      <c r="L410" s="1" t="s">
        <v>40</v>
      </c>
      <c r="M410" s="1" t="s">
        <v>20</v>
      </c>
      <c r="N410" s="1">
        <v>3.3</v>
      </c>
    </row>
    <row r="411" spans="1:14" x14ac:dyDescent="0.3">
      <c r="A411" s="1" t="s">
        <v>850</v>
      </c>
      <c r="B411" s="1" t="s">
        <v>851</v>
      </c>
      <c r="C411" s="1">
        <v>26</v>
      </c>
      <c r="D411" s="1" t="s">
        <v>16</v>
      </c>
      <c r="E411" s="1" t="s">
        <v>29</v>
      </c>
      <c r="F411" s="1" t="s">
        <v>18</v>
      </c>
      <c r="G411" s="9">
        <v>355767.65</v>
      </c>
      <c r="H411" s="1">
        <v>629117.53</v>
      </c>
      <c r="I411" s="1">
        <v>381</v>
      </c>
      <c r="J411" s="1">
        <v>112</v>
      </c>
      <c r="K411" s="1">
        <v>210781</v>
      </c>
      <c r="L411" s="1" t="s">
        <v>30</v>
      </c>
      <c r="M411" s="1" t="s">
        <v>20</v>
      </c>
      <c r="N411" s="1">
        <v>1.7</v>
      </c>
    </row>
    <row r="412" spans="1:14" x14ac:dyDescent="0.3">
      <c r="A412" s="1" t="s">
        <v>852</v>
      </c>
      <c r="B412" s="1" t="s">
        <v>853</v>
      </c>
      <c r="C412" s="1">
        <v>19</v>
      </c>
      <c r="D412" s="1" t="s">
        <v>16</v>
      </c>
      <c r="E412" s="1" t="s">
        <v>29</v>
      </c>
      <c r="F412" s="1" t="s">
        <v>25</v>
      </c>
      <c r="G412" s="9">
        <v>598533.72</v>
      </c>
      <c r="H412" s="1">
        <v>1912490.93</v>
      </c>
      <c r="I412" s="1">
        <v>385</v>
      </c>
      <c r="J412" s="1">
        <v>58</v>
      </c>
      <c r="K412" s="1">
        <v>222095</v>
      </c>
      <c r="L412" s="1" t="s">
        <v>26</v>
      </c>
      <c r="M412" s="1" t="s">
        <v>20</v>
      </c>
      <c r="N412" s="1">
        <v>2</v>
      </c>
    </row>
    <row r="413" spans="1:14" x14ac:dyDescent="0.3">
      <c r="A413" s="1" t="s">
        <v>854</v>
      </c>
      <c r="B413" s="1" t="s">
        <v>855</v>
      </c>
      <c r="C413" s="1">
        <v>33</v>
      </c>
      <c r="D413" s="1" t="s">
        <v>16</v>
      </c>
      <c r="E413" s="1" t="s">
        <v>76</v>
      </c>
      <c r="F413" s="1" t="s">
        <v>81</v>
      </c>
      <c r="G413" s="9">
        <v>429842.04</v>
      </c>
      <c r="H413" s="1">
        <v>1566201.71</v>
      </c>
      <c r="I413" s="1">
        <v>434</v>
      </c>
      <c r="J413" s="1">
        <v>274</v>
      </c>
      <c r="K413" s="1">
        <v>213355</v>
      </c>
      <c r="L413" s="1" t="s">
        <v>26</v>
      </c>
      <c r="M413" s="1" t="s">
        <v>33</v>
      </c>
      <c r="N413" s="1">
        <v>4.4000000000000004</v>
      </c>
    </row>
    <row r="414" spans="1:14" x14ac:dyDescent="0.3">
      <c r="A414" s="1" t="s">
        <v>856</v>
      </c>
      <c r="B414" s="1" t="s">
        <v>857</v>
      </c>
      <c r="C414" s="1">
        <v>47</v>
      </c>
      <c r="D414" s="1" t="s">
        <v>16</v>
      </c>
      <c r="E414" s="1" t="s">
        <v>45</v>
      </c>
      <c r="F414" s="1" t="s">
        <v>25</v>
      </c>
      <c r="G414" s="9">
        <v>813173.32</v>
      </c>
      <c r="H414" s="1">
        <v>681036.07</v>
      </c>
      <c r="I414" s="1">
        <v>755</v>
      </c>
      <c r="J414" s="1">
        <v>74</v>
      </c>
      <c r="K414" s="1">
        <v>248300</v>
      </c>
      <c r="L414" s="1" t="s">
        <v>26</v>
      </c>
      <c r="M414" s="1" t="s">
        <v>33</v>
      </c>
      <c r="N414" s="1">
        <v>4.9000000000000004</v>
      </c>
    </row>
    <row r="415" spans="1:14" x14ac:dyDescent="0.3">
      <c r="A415" s="1" t="s">
        <v>858</v>
      </c>
      <c r="B415" s="1" t="s">
        <v>859</v>
      </c>
      <c r="C415" s="1">
        <v>48</v>
      </c>
      <c r="D415" s="1" t="s">
        <v>16</v>
      </c>
      <c r="E415" s="1" t="s">
        <v>55</v>
      </c>
      <c r="F415" s="1" t="s">
        <v>18</v>
      </c>
      <c r="G415" s="9">
        <v>344557.02</v>
      </c>
      <c r="H415" s="1">
        <v>223885.06</v>
      </c>
      <c r="I415" s="1">
        <v>615</v>
      </c>
      <c r="J415" s="1">
        <v>192</v>
      </c>
      <c r="K415" s="1">
        <v>161470</v>
      </c>
      <c r="L415" s="1" t="s">
        <v>19</v>
      </c>
      <c r="M415" s="1" t="s">
        <v>20</v>
      </c>
      <c r="N415" s="1">
        <v>2.6</v>
      </c>
    </row>
    <row r="416" spans="1:14" x14ac:dyDescent="0.3">
      <c r="A416" s="1" t="s">
        <v>860</v>
      </c>
      <c r="B416" s="1" t="s">
        <v>861</v>
      </c>
      <c r="C416" s="1">
        <v>40</v>
      </c>
      <c r="D416" s="1" t="s">
        <v>23</v>
      </c>
      <c r="E416" s="1" t="s">
        <v>76</v>
      </c>
      <c r="F416" s="1" t="s">
        <v>25</v>
      </c>
      <c r="G416" s="9">
        <v>706450.94</v>
      </c>
      <c r="H416" s="1">
        <v>20792.78</v>
      </c>
      <c r="I416" s="1">
        <v>803</v>
      </c>
      <c r="J416" s="1">
        <v>489</v>
      </c>
      <c r="K416" s="1">
        <v>95173</v>
      </c>
      <c r="L416" s="1" t="s">
        <v>26</v>
      </c>
      <c r="M416" s="1" t="s">
        <v>20</v>
      </c>
      <c r="N416" s="1">
        <v>4</v>
      </c>
    </row>
    <row r="417" spans="1:14" x14ac:dyDescent="0.3">
      <c r="A417" s="1" t="s">
        <v>862</v>
      </c>
      <c r="B417" s="1" t="s">
        <v>863</v>
      </c>
      <c r="C417" s="1">
        <v>68</v>
      </c>
      <c r="D417" s="1" t="s">
        <v>16</v>
      </c>
      <c r="E417" s="1" t="s">
        <v>17</v>
      </c>
      <c r="F417" s="1" t="s">
        <v>25</v>
      </c>
      <c r="G417" s="9">
        <v>824577.23</v>
      </c>
      <c r="H417" s="1">
        <v>471427.45</v>
      </c>
      <c r="I417" s="1">
        <v>874</v>
      </c>
      <c r="J417" s="1">
        <v>228</v>
      </c>
      <c r="K417" s="1">
        <v>21892</v>
      </c>
      <c r="L417" s="1" t="s">
        <v>40</v>
      </c>
      <c r="M417" s="1" t="s">
        <v>33</v>
      </c>
      <c r="N417" s="1">
        <v>2.6</v>
      </c>
    </row>
    <row r="418" spans="1:14" x14ac:dyDescent="0.3">
      <c r="A418" s="1" t="s">
        <v>864</v>
      </c>
      <c r="B418" s="1" t="s">
        <v>865</v>
      </c>
      <c r="C418" s="1">
        <v>23</v>
      </c>
      <c r="D418" s="1" t="s">
        <v>23</v>
      </c>
      <c r="E418" s="1" t="s">
        <v>17</v>
      </c>
      <c r="F418" s="1" t="s">
        <v>39</v>
      </c>
      <c r="G418" s="9">
        <v>939857.91</v>
      </c>
      <c r="H418" s="1">
        <v>1291525.1499999999</v>
      </c>
      <c r="I418" s="1">
        <v>578</v>
      </c>
      <c r="J418" s="1">
        <v>150</v>
      </c>
      <c r="K418" s="1">
        <v>130687</v>
      </c>
      <c r="L418" s="1" t="s">
        <v>19</v>
      </c>
      <c r="M418" s="1" t="s">
        <v>20</v>
      </c>
      <c r="N418" s="1">
        <v>3.6</v>
      </c>
    </row>
    <row r="419" spans="1:14" x14ac:dyDescent="0.3">
      <c r="A419" s="1" t="s">
        <v>866</v>
      </c>
      <c r="B419" s="1" t="s">
        <v>867</v>
      </c>
      <c r="C419" s="1">
        <v>26</v>
      </c>
      <c r="D419" s="1" t="s">
        <v>23</v>
      </c>
      <c r="E419" s="1" t="s">
        <v>24</v>
      </c>
      <c r="F419" s="1" t="s">
        <v>81</v>
      </c>
      <c r="G419" s="9">
        <v>169982.74</v>
      </c>
      <c r="H419" s="1">
        <v>1138357.53</v>
      </c>
      <c r="I419" s="1">
        <v>763</v>
      </c>
      <c r="J419" s="1">
        <v>144</v>
      </c>
      <c r="K419" s="1">
        <v>95915</v>
      </c>
      <c r="L419" s="1" t="s">
        <v>19</v>
      </c>
      <c r="M419" s="1" t="s">
        <v>20</v>
      </c>
      <c r="N419" s="1">
        <v>3.8</v>
      </c>
    </row>
    <row r="420" spans="1:14" x14ac:dyDescent="0.3">
      <c r="A420" s="1" t="s">
        <v>868</v>
      </c>
      <c r="B420" s="1" t="s">
        <v>869</v>
      </c>
      <c r="C420" s="1">
        <v>21</v>
      </c>
      <c r="D420" s="1" t="s">
        <v>23</v>
      </c>
      <c r="E420" s="1" t="s">
        <v>76</v>
      </c>
      <c r="F420" s="1" t="s">
        <v>39</v>
      </c>
      <c r="G420" s="9">
        <v>38085.67</v>
      </c>
      <c r="H420" s="1">
        <v>2430831.5099999998</v>
      </c>
      <c r="I420" s="1">
        <v>588</v>
      </c>
      <c r="J420" s="1">
        <v>142</v>
      </c>
      <c r="K420" s="1">
        <v>160239</v>
      </c>
      <c r="L420" s="1" t="s">
        <v>19</v>
      </c>
      <c r="M420" s="1" t="s">
        <v>20</v>
      </c>
      <c r="N420" s="1">
        <v>1.5</v>
      </c>
    </row>
    <row r="421" spans="1:14" x14ac:dyDescent="0.3">
      <c r="A421" s="1" t="s">
        <v>870</v>
      </c>
      <c r="B421" s="1" t="s">
        <v>871</v>
      </c>
      <c r="C421" s="1">
        <v>18</v>
      </c>
      <c r="D421" s="1" t="s">
        <v>16</v>
      </c>
      <c r="E421" s="1" t="s">
        <v>48</v>
      </c>
      <c r="F421" s="1" t="s">
        <v>18</v>
      </c>
      <c r="G421" s="9">
        <v>329696.19</v>
      </c>
      <c r="H421" s="1">
        <v>1050607.57</v>
      </c>
      <c r="I421" s="1">
        <v>810</v>
      </c>
      <c r="J421" s="1">
        <v>195</v>
      </c>
      <c r="K421" s="1">
        <v>149388</v>
      </c>
      <c r="L421" s="1" t="s">
        <v>40</v>
      </c>
      <c r="M421" s="1" t="s">
        <v>20</v>
      </c>
      <c r="N421" s="1">
        <v>2.9</v>
      </c>
    </row>
    <row r="422" spans="1:14" x14ac:dyDescent="0.3">
      <c r="A422" s="1" t="s">
        <v>872</v>
      </c>
      <c r="B422" s="1" t="s">
        <v>873</v>
      </c>
      <c r="C422" s="1">
        <v>35</v>
      </c>
      <c r="D422" s="1" t="s">
        <v>23</v>
      </c>
      <c r="E422" s="1" t="s">
        <v>17</v>
      </c>
      <c r="F422" s="1" t="s">
        <v>18</v>
      </c>
      <c r="G422" s="9">
        <v>591670.55000000005</v>
      </c>
      <c r="H422" s="1">
        <v>1357979.88</v>
      </c>
      <c r="I422" s="1">
        <v>485</v>
      </c>
      <c r="J422" s="1">
        <v>103</v>
      </c>
      <c r="K422" s="1">
        <v>223332</v>
      </c>
      <c r="L422" s="1" t="s">
        <v>19</v>
      </c>
      <c r="M422" s="1" t="s">
        <v>20</v>
      </c>
      <c r="N422" s="1">
        <v>4.5999999999999996</v>
      </c>
    </row>
    <row r="423" spans="1:14" x14ac:dyDescent="0.3">
      <c r="A423" s="1" t="s">
        <v>874</v>
      </c>
      <c r="B423" s="1" t="s">
        <v>875</v>
      </c>
      <c r="C423" s="1">
        <v>42</v>
      </c>
      <c r="D423" s="1" t="s">
        <v>16</v>
      </c>
      <c r="E423" s="1" t="s">
        <v>24</v>
      </c>
      <c r="F423" s="1" t="s">
        <v>25</v>
      </c>
      <c r="G423" s="9">
        <v>1462583.46</v>
      </c>
      <c r="H423" s="1">
        <v>617905.48</v>
      </c>
      <c r="I423" s="1">
        <v>334</v>
      </c>
      <c r="J423" s="1">
        <v>106</v>
      </c>
      <c r="K423" s="1">
        <v>222172</v>
      </c>
      <c r="L423" s="1" t="s">
        <v>30</v>
      </c>
      <c r="M423" s="1" t="s">
        <v>33</v>
      </c>
      <c r="N423" s="1">
        <v>2.8</v>
      </c>
    </row>
    <row r="424" spans="1:14" x14ac:dyDescent="0.3">
      <c r="A424" s="1" t="s">
        <v>876</v>
      </c>
      <c r="B424" s="1" t="s">
        <v>877</v>
      </c>
      <c r="C424" s="1">
        <v>38</v>
      </c>
      <c r="D424" s="1" t="s">
        <v>23</v>
      </c>
      <c r="E424" s="1" t="s">
        <v>55</v>
      </c>
      <c r="F424" s="1" t="s">
        <v>39</v>
      </c>
      <c r="G424" s="9">
        <v>945600.56</v>
      </c>
      <c r="H424" s="1">
        <v>105464.79</v>
      </c>
      <c r="I424" s="1">
        <v>862</v>
      </c>
      <c r="J424" s="1">
        <v>271</v>
      </c>
      <c r="K424" s="1">
        <v>61579</v>
      </c>
      <c r="L424" s="1" t="s">
        <v>26</v>
      </c>
      <c r="M424" s="1" t="s">
        <v>20</v>
      </c>
      <c r="N424" s="1">
        <v>1.5</v>
      </c>
    </row>
    <row r="425" spans="1:14" x14ac:dyDescent="0.3">
      <c r="A425" s="1" t="s">
        <v>878</v>
      </c>
      <c r="B425" s="1" t="s">
        <v>879</v>
      </c>
      <c r="C425" s="1">
        <v>60</v>
      </c>
      <c r="D425" s="1" t="s">
        <v>23</v>
      </c>
      <c r="E425" s="1" t="s">
        <v>29</v>
      </c>
      <c r="F425" s="1" t="s">
        <v>25</v>
      </c>
      <c r="G425" s="9">
        <v>1460044.72</v>
      </c>
      <c r="H425" s="1">
        <v>589914.59</v>
      </c>
      <c r="I425" s="1">
        <v>744</v>
      </c>
      <c r="J425" s="1">
        <v>171</v>
      </c>
      <c r="K425" s="1">
        <v>77091</v>
      </c>
      <c r="L425" s="1" t="s">
        <v>40</v>
      </c>
      <c r="M425" s="1" t="s">
        <v>20</v>
      </c>
      <c r="N425" s="1">
        <v>1.1000000000000001</v>
      </c>
    </row>
    <row r="426" spans="1:14" x14ac:dyDescent="0.3">
      <c r="A426" s="1" t="s">
        <v>880</v>
      </c>
      <c r="B426" s="1" t="s">
        <v>881</v>
      </c>
      <c r="C426" s="1">
        <v>20</v>
      </c>
      <c r="D426" s="1" t="s">
        <v>16</v>
      </c>
      <c r="E426" s="1" t="s">
        <v>38</v>
      </c>
      <c r="F426" s="1" t="s">
        <v>25</v>
      </c>
      <c r="G426" s="9">
        <v>1176295.48</v>
      </c>
      <c r="H426" s="1">
        <v>1188176.7</v>
      </c>
      <c r="I426" s="1">
        <v>458</v>
      </c>
      <c r="J426" s="1">
        <v>195</v>
      </c>
      <c r="K426" s="1">
        <v>172325</v>
      </c>
      <c r="L426" s="1" t="s">
        <v>19</v>
      </c>
      <c r="M426" s="1" t="s">
        <v>33</v>
      </c>
      <c r="N426" s="1">
        <v>4.0999999999999996</v>
      </c>
    </row>
    <row r="427" spans="1:14" x14ac:dyDescent="0.3">
      <c r="A427" s="1" t="s">
        <v>882</v>
      </c>
      <c r="B427" s="1" t="s">
        <v>883</v>
      </c>
      <c r="C427" s="1">
        <v>66</v>
      </c>
      <c r="D427" s="1" t="s">
        <v>16</v>
      </c>
      <c r="E427" s="1" t="s">
        <v>38</v>
      </c>
      <c r="F427" s="1" t="s">
        <v>25</v>
      </c>
      <c r="G427" s="9">
        <v>94778.240000000005</v>
      </c>
      <c r="H427" s="1">
        <v>888794.19</v>
      </c>
      <c r="I427" s="1">
        <v>457</v>
      </c>
      <c r="J427" s="1">
        <v>364</v>
      </c>
      <c r="K427" s="1">
        <v>183874</v>
      </c>
      <c r="L427" s="1" t="s">
        <v>40</v>
      </c>
      <c r="M427" s="1" t="s">
        <v>33</v>
      </c>
      <c r="N427" s="1">
        <v>3.1</v>
      </c>
    </row>
    <row r="428" spans="1:14" x14ac:dyDescent="0.3">
      <c r="A428" s="1" t="s">
        <v>884</v>
      </c>
      <c r="B428" s="1" t="s">
        <v>885</v>
      </c>
      <c r="C428" s="1">
        <v>53</v>
      </c>
      <c r="D428" s="1" t="s">
        <v>23</v>
      </c>
      <c r="E428" s="1" t="s">
        <v>48</v>
      </c>
      <c r="F428" s="1" t="s">
        <v>39</v>
      </c>
      <c r="G428" s="9">
        <v>968745.74</v>
      </c>
      <c r="H428" s="1">
        <v>868294.35</v>
      </c>
      <c r="I428" s="1">
        <v>749</v>
      </c>
      <c r="J428" s="1">
        <v>380</v>
      </c>
      <c r="K428" s="1">
        <v>226716</v>
      </c>
      <c r="L428" s="1" t="s">
        <v>26</v>
      </c>
      <c r="M428" s="1" t="s">
        <v>20</v>
      </c>
      <c r="N428" s="1">
        <v>1.8</v>
      </c>
    </row>
    <row r="429" spans="1:14" x14ac:dyDescent="0.3">
      <c r="A429" s="1" t="s">
        <v>886</v>
      </c>
      <c r="B429" s="1" t="s">
        <v>887</v>
      </c>
      <c r="C429" s="1">
        <v>49</v>
      </c>
      <c r="D429" s="1" t="s">
        <v>23</v>
      </c>
      <c r="E429" s="1" t="s">
        <v>48</v>
      </c>
      <c r="F429" s="1" t="s">
        <v>25</v>
      </c>
      <c r="G429" s="9">
        <v>659062.51</v>
      </c>
      <c r="H429" s="1">
        <v>736786.49</v>
      </c>
      <c r="I429" s="1">
        <v>801</v>
      </c>
      <c r="J429" s="1">
        <v>102</v>
      </c>
      <c r="K429" s="1">
        <v>205237</v>
      </c>
      <c r="L429" s="1" t="s">
        <v>26</v>
      </c>
      <c r="M429" s="1" t="s">
        <v>20</v>
      </c>
      <c r="N429" s="1">
        <v>3.3</v>
      </c>
    </row>
    <row r="430" spans="1:14" x14ac:dyDescent="0.3">
      <c r="A430" s="1" t="s">
        <v>888</v>
      </c>
      <c r="B430" s="1" t="s">
        <v>889</v>
      </c>
      <c r="C430" s="1">
        <v>22</v>
      </c>
      <c r="D430" s="1" t="s">
        <v>16</v>
      </c>
      <c r="E430" s="1" t="s">
        <v>17</v>
      </c>
      <c r="F430" s="1" t="s">
        <v>39</v>
      </c>
      <c r="G430" s="9">
        <v>236763.09</v>
      </c>
      <c r="H430" s="1">
        <v>739181.65</v>
      </c>
      <c r="I430" s="1">
        <v>569</v>
      </c>
      <c r="J430" s="1">
        <v>282</v>
      </c>
      <c r="K430" s="1">
        <v>159234</v>
      </c>
      <c r="L430" s="1" t="s">
        <v>19</v>
      </c>
      <c r="M430" s="1" t="s">
        <v>33</v>
      </c>
      <c r="N430" s="1">
        <v>2.5</v>
      </c>
    </row>
    <row r="431" spans="1:14" x14ac:dyDescent="0.3">
      <c r="A431" s="1" t="s">
        <v>890</v>
      </c>
      <c r="B431" s="1" t="s">
        <v>891</v>
      </c>
      <c r="C431" s="1">
        <v>67</v>
      </c>
      <c r="D431" s="1" t="s">
        <v>23</v>
      </c>
      <c r="E431" s="1" t="s">
        <v>38</v>
      </c>
      <c r="F431" s="1" t="s">
        <v>81</v>
      </c>
      <c r="G431" s="9">
        <v>361985.9</v>
      </c>
      <c r="H431" s="1">
        <v>1802508.91</v>
      </c>
      <c r="I431" s="1">
        <v>851</v>
      </c>
      <c r="J431" s="1">
        <v>424</v>
      </c>
      <c r="K431" s="1">
        <v>182581</v>
      </c>
      <c r="L431" s="1" t="s">
        <v>26</v>
      </c>
      <c r="M431" s="1" t="s">
        <v>33</v>
      </c>
      <c r="N431" s="1">
        <v>2.5</v>
      </c>
    </row>
    <row r="432" spans="1:14" x14ac:dyDescent="0.3">
      <c r="A432" s="1" t="s">
        <v>892</v>
      </c>
      <c r="B432" s="1" t="s">
        <v>893</v>
      </c>
      <c r="C432" s="1">
        <v>59</v>
      </c>
      <c r="D432" s="1" t="s">
        <v>16</v>
      </c>
      <c r="E432" s="1" t="s">
        <v>38</v>
      </c>
      <c r="F432" s="1" t="s">
        <v>18</v>
      </c>
      <c r="G432" s="9">
        <v>170143.88</v>
      </c>
      <c r="H432" s="1">
        <v>1308001.3500000001</v>
      </c>
      <c r="I432" s="1">
        <v>368</v>
      </c>
      <c r="J432" s="1">
        <v>27</v>
      </c>
      <c r="K432" s="1">
        <v>104416</v>
      </c>
      <c r="L432" s="1" t="s">
        <v>40</v>
      </c>
      <c r="M432" s="1" t="s">
        <v>20</v>
      </c>
      <c r="N432" s="1">
        <v>4.3</v>
      </c>
    </row>
    <row r="433" spans="1:14" x14ac:dyDescent="0.3">
      <c r="A433" s="1" t="s">
        <v>894</v>
      </c>
      <c r="B433" s="1" t="s">
        <v>895</v>
      </c>
      <c r="C433" s="1">
        <v>49</v>
      </c>
      <c r="D433" s="1" t="s">
        <v>23</v>
      </c>
      <c r="E433" s="1" t="s">
        <v>76</v>
      </c>
      <c r="F433" s="1" t="s">
        <v>81</v>
      </c>
      <c r="G433" s="9">
        <v>152636.60999999999</v>
      </c>
      <c r="H433" s="1">
        <v>1427530.45</v>
      </c>
      <c r="I433" s="1">
        <v>697</v>
      </c>
      <c r="J433" s="1">
        <v>341</v>
      </c>
      <c r="K433" s="1">
        <v>70231</v>
      </c>
      <c r="L433" s="1" t="s">
        <v>40</v>
      </c>
      <c r="M433" s="1" t="s">
        <v>20</v>
      </c>
      <c r="N433" s="1">
        <v>3</v>
      </c>
    </row>
    <row r="434" spans="1:14" x14ac:dyDescent="0.3">
      <c r="A434" s="1" t="s">
        <v>896</v>
      </c>
      <c r="B434" s="1" t="s">
        <v>897</v>
      </c>
      <c r="C434" s="1">
        <v>18</v>
      </c>
      <c r="D434" s="1" t="s">
        <v>16</v>
      </c>
      <c r="E434" s="1" t="s">
        <v>48</v>
      </c>
      <c r="F434" s="1" t="s">
        <v>25</v>
      </c>
      <c r="G434" s="9">
        <v>985345.3</v>
      </c>
      <c r="H434" s="1">
        <v>2321009.2999999998</v>
      </c>
      <c r="I434" s="1">
        <v>381</v>
      </c>
      <c r="J434" s="1">
        <v>244</v>
      </c>
      <c r="K434" s="1">
        <v>74719</v>
      </c>
      <c r="L434" s="1" t="s">
        <v>26</v>
      </c>
      <c r="M434" s="1" t="s">
        <v>20</v>
      </c>
      <c r="N434" s="1">
        <v>4.2</v>
      </c>
    </row>
    <row r="435" spans="1:14" x14ac:dyDescent="0.3">
      <c r="A435" s="1" t="s">
        <v>898</v>
      </c>
      <c r="B435" s="1" t="s">
        <v>899</v>
      </c>
      <c r="C435" s="1">
        <v>70</v>
      </c>
      <c r="D435" s="1" t="s">
        <v>16</v>
      </c>
      <c r="E435" s="1" t="s">
        <v>29</v>
      </c>
      <c r="F435" s="1" t="s">
        <v>18</v>
      </c>
      <c r="G435" s="9">
        <v>402394.37</v>
      </c>
      <c r="H435" s="1">
        <v>101632.88</v>
      </c>
      <c r="I435" s="1">
        <v>372</v>
      </c>
      <c r="J435" s="1">
        <v>432</v>
      </c>
      <c r="K435" s="1">
        <v>181725</v>
      </c>
      <c r="L435" s="1" t="s">
        <v>40</v>
      </c>
      <c r="M435" s="1" t="s">
        <v>33</v>
      </c>
      <c r="N435" s="1">
        <v>2.2000000000000002</v>
      </c>
    </row>
    <row r="436" spans="1:14" x14ac:dyDescent="0.3">
      <c r="A436" s="1" t="s">
        <v>900</v>
      </c>
      <c r="B436" s="1" t="s">
        <v>901</v>
      </c>
      <c r="C436" s="1">
        <v>30</v>
      </c>
      <c r="D436" s="1" t="s">
        <v>23</v>
      </c>
      <c r="E436" s="1" t="s">
        <v>29</v>
      </c>
      <c r="F436" s="1" t="s">
        <v>81</v>
      </c>
      <c r="G436" s="9">
        <v>791657.07</v>
      </c>
      <c r="H436" s="1">
        <v>621907.56999999995</v>
      </c>
      <c r="I436" s="1">
        <v>483</v>
      </c>
      <c r="J436" s="1">
        <v>290</v>
      </c>
      <c r="K436" s="1">
        <v>70625</v>
      </c>
      <c r="L436" s="1" t="s">
        <v>30</v>
      </c>
      <c r="M436" s="1" t="s">
        <v>33</v>
      </c>
      <c r="N436" s="1">
        <v>4</v>
      </c>
    </row>
    <row r="437" spans="1:14" x14ac:dyDescent="0.3">
      <c r="A437" s="1" t="s">
        <v>902</v>
      </c>
      <c r="B437" s="1" t="s">
        <v>903</v>
      </c>
      <c r="C437" s="1">
        <v>24</v>
      </c>
      <c r="D437" s="1" t="s">
        <v>23</v>
      </c>
      <c r="E437" s="1" t="s">
        <v>48</v>
      </c>
      <c r="F437" s="1" t="s">
        <v>81</v>
      </c>
      <c r="G437" s="9">
        <v>1189730.0900000001</v>
      </c>
      <c r="H437" s="1">
        <v>1374913.67</v>
      </c>
      <c r="I437" s="1">
        <v>816</v>
      </c>
      <c r="J437" s="1">
        <v>177</v>
      </c>
      <c r="K437" s="1">
        <v>63728</v>
      </c>
      <c r="L437" s="1" t="s">
        <v>26</v>
      </c>
      <c r="M437" s="1" t="s">
        <v>33</v>
      </c>
      <c r="N437" s="1">
        <v>3.6</v>
      </c>
    </row>
    <row r="438" spans="1:14" x14ac:dyDescent="0.3">
      <c r="A438" s="1" t="s">
        <v>904</v>
      </c>
      <c r="B438" s="1" t="s">
        <v>905</v>
      </c>
      <c r="C438" s="1">
        <v>44</v>
      </c>
      <c r="D438" s="1" t="s">
        <v>16</v>
      </c>
      <c r="E438" s="1" t="s">
        <v>17</v>
      </c>
      <c r="F438" s="1" t="s">
        <v>81</v>
      </c>
      <c r="G438" s="9">
        <v>951695.03</v>
      </c>
      <c r="H438" s="1">
        <v>2065387.44</v>
      </c>
      <c r="I438" s="1">
        <v>631</v>
      </c>
      <c r="J438" s="1">
        <v>316</v>
      </c>
      <c r="K438" s="1">
        <v>220326</v>
      </c>
      <c r="L438" s="1" t="s">
        <v>26</v>
      </c>
      <c r="M438" s="1" t="s">
        <v>33</v>
      </c>
      <c r="N438" s="1">
        <v>2</v>
      </c>
    </row>
    <row r="439" spans="1:14" x14ac:dyDescent="0.3">
      <c r="A439" s="1" t="s">
        <v>906</v>
      </c>
      <c r="B439" s="1" t="s">
        <v>907</v>
      </c>
      <c r="C439" s="1">
        <v>46</v>
      </c>
      <c r="D439" s="1" t="s">
        <v>16</v>
      </c>
      <c r="E439" s="1" t="s">
        <v>55</v>
      </c>
      <c r="F439" s="1" t="s">
        <v>18</v>
      </c>
      <c r="G439" s="9">
        <v>5292.46</v>
      </c>
      <c r="H439" s="1">
        <v>86657.26</v>
      </c>
      <c r="I439" s="1">
        <v>591</v>
      </c>
      <c r="J439" s="1">
        <v>310</v>
      </c>
      <c r="K439" s="1">
        <v>124094</v>
      </c>
      <c r="L439" s="1" t="s">
        <v>26</v>
      </c>
      <c r="M439" s="1" t="s">
        <v>20</v>
      </c>
      <c r="N439" s="1">
        <v>1.1000000000000001</v>
      </c>
    </row>
    <row r="440" spans="1:14" x14ac:dyDescent="0.3">
      <c r="A440" s="1" t="s">
        <v>908</v>
      </c>
      <c r="B440" s="1" t="s">
        <v>909</v>
      </c>
      <c r="C440" s="1">
        <v>31</v>
      </c>
      <c r="D440" s="1" t="s">
        <v>16</v>
      </c>
      <c r="E440" s="1" t="s">
        <v>29</v>
      </c>
      <c r="F440" s="1" t="s">
        <v>18</v>
      </c>
      <c r="G440" s="9">
        <v>475782.49</v>
      </c>
      <c r="H440" s="1">
        <v>1928807.68</v>
      </c>
      <c r="I440" s="1">
        <v>582</v>
      </c>
      <c r="J440" s="1">
        <v>475</v>
      </c>
      <c r="K440" s="1">
        <v>244321</v>
      </c>
      <c r="L440" s="1" t="s">
        <v>30</v>
      </c>
      <c r="M440" s="1" t="s">
        <v>33</v>
      </c>
      <c r="N440" s="1">
        <v>3.2</v>
      </c>
    </row>
    <row r="441" spans="1:14" x14ac:dyDescent="0.3">
      <c r="A441" s="1" t="s">
        <v>910</v>
      </c>
      <c r="B441" s="1" t="s">
        <v>911</v>
      </c>
      <c r="C441" s="1">
        <v>27</v>
      </c>
      <c r="D441" s="1" t="s">
        <v>23</v>
      </c>
      <c r="E441" s="1" t="s">
        <v>29</v>
      </c>
      <c r="F441" s="1" t="s">
        <v>25</v>
      </c>
      <c r="G441" s="9">
        <v>401157.33</v>
      </c>
      <c r="H441" s="1">
        <v>2224063.38</v>
      </c>
      <c r="I441" s="1">
        <v>555</v>
      </c>
      <c r="J441" s="1">
        <v>124</v>
      </c>
      <c r="K441" s="1">
        <v>56282</v>
      </c>
      <c r="L441" s="1" t="s">
        <v>40</v>
      </c>
      <c r="M441" s="1" t="s">
        <v>20</v>
      </c>
      <c r="N441" s="1">
        <v>2</v>
      </c>
    </row>
    <row r="442" spans="1:14" x14ac:dyDescent="0.3">
      <c r="A442" s="1" t="s">
        <v>912</v>
      </c>
      <c r="B442" s="1" t="s">
        <v>913</v>
      </c>
      <c r="C442" s="1">
        <v>64</v>
      </c>
      <c r="D442" s="1" t="s">
        <v>23</v>
      </c>
      <c r="E442" s="1" t="s">
        <v>76</v>
      </c>
      <c r="F442" s="1" t="s">
        <v>25</v>
      </c>
      <c r="G442" s="9">
        <v>1190391.77</v>
      </c>
      <c r="H442" s="1">
        <v>432256.23</v>
      </c>
      <c r="I442" s="1">
        <v>890</v>
      </c>
      <c r="J442" s="1">
        <v>424</v>
      </c>
      <c r="K442" s="1">
        <v>105116</v>
      </c>
      <c r="L442" s="1" t="s">
        <v>19</v>
      </c>
      <c r="M442" s="1" t="s">
        <v>20</v>
      </c>
      <c r="N442" s="1">
        <v>4.5999999999999996</v>
      </c>
    </row>
    <row r="443" spans="1:14" x14ac:dyDescent="0.3">
      <c r="A443" s="1" t="s">
        <v>914</v>
      </c>
      <c r="B443" s="1" t="s">
        <v>915</v>
      </c>
      <c r="C443" s="1">
        <v>67</v>
      </c>
      <c r="D443" s="1" t="s">
        <v>16</v>
      </c>
      <c r="E443" s="1" t="s">
        <v>76</v>
      </c>
      <c r="F443" s="1" t="s">
        <v>25</v>
      </c>
      <c r="G443" s="9">
        <v>525155.66</v>
      </c>
      <c r="H443" s="1">
        <v>2042854.25</v>
      </c>
      <c r="I443" s="1">
        <v>726</v>
      </c>
      <c r="J443" s="1">
        <v>481</v>
      </c>
      <c r="K443" s="1">
        <v>107658</v>
      </c>
      <c r="L443" s="1" t="s">
        <v>19</v>
      </c>
      <c r="M443" s="1" t="s">
        <v>33</v>
      </c>
      <c r="N443" s="1">
        <v>4.5</v>
      </c>
    </row>
    <row r="444" spans="1:14" x14ac:dyDescent="0.3">
      <c r="A444" s="1" t="s">
        <v>916</v>
      </c>
      <c r="B444" s="1" t="s">
        <v>917</v>
      </c>
      <c r="C444" s="1">
        <v>51</v>
      </c>
      <c r="D444" s="1" t="s">
        <v>16</v>
      </c>
      <c r="E444" s="1" t="s">
        <v>76</v>
      </c>
      <c r="F444" s="1" t="s">
        <v>25</v>
      </c>
      <c r="G444" s="9">
        <v>482378.23</v>
      </c>
      <c r="H444" s="1">
        <v>1412282.23</v>
      </c>
      <c r="I444" s="1">
        <v>634</v>
      </c>
      <c r="J444" s="1">
        <v>262</v>
      </c>
      <c r="K444" s="1">
        <v>30795</v>
      </c>
      <c r="L444" s="1" t="s">
        <v>30</v>
      </c>
      <c r="M444" s="1" t="s">
        <v>20</v>
      </c>
      <c r="N444" s="1">
        <v>3.8</v>
      </c>
    </row>
    <row r="445" spans="1:14" x14ac:dyDescent="0.3">
      <c r="A445" s="1" t="s">
        <v>918</v>
      </c>
      <c r="B445" s="1" t="s">
        <v>919</v>
      </c>
      <c r="C445" s="1">
        <v>32</v>
      </c>
      <c r="D445" s="1" t="s">
        <v>16</v>
      </c>
      <c r="E445" s="1" t="s">
        <v>17</v>
      </c>
      <c r="F445" s="1" t="s">
        <v>81</v>
      </c>
      <c r="G445" s="9">
        <v>438225.63</v>
      </c>
      <c r="H445" s="1">
        <v>985806.01</v>
      </c>
      <c r="I445" s="1">
        <v>435</v>
      </c>
      <c r="J445" s="1">
        <v>177</v>
      </c>
      <c r="K445" s="1">
        <v>133229</v>
      </c>
      <c r="L445" s="1" t="s">
        <v>19</v>
      </c>
      <c r="M445" s="1" t="s">
        <v>33</v>
      </c>
      <c r="N445" s="1">
        <v>1.3</v>
      </c>
    </row>
    <row r="446" spans="1:14" x14ac:dyDescent="0.3">
      <c r="A446" s="1" t="s">
        <v>920</v>
      </c>
      <c r="B446" s="1" t="s">
        <v>921</v>
      </c>
      <c r="C446" s="1">
        <v>50</v>
      </c>
      <c r="D446" s="1" t="s">
        <v>23</v>
      </c>
      <c r="E446" s="1" t="s">
        <v>17</v>
      </c>
      <c r="F446" s="1" t="s">
        <v>39</v>
      </c>
      <c r="G446" s="9">
        <v>1161868.58</v>
      </c>
      <c r="H446" s="1">
        <v>325937.94</v>
      </c>
      <c r="I446" s="1">
        <v>438</v>
      </c>
      <c r="J446" s="1">
        <v>251</v>
      </c>
      <c r="K446" s="1">
        <v>133899</v>
      </c>
      <c r="L446" s="1" t="s">
        <v>40</v>
      </c>
      <c r="M446" s="1" t="s">
        <v>20</v>
      </c>
      <c r="N446" s="1">
        <v>3.2</v>
      </c>
    </row>
    <row r="447" spans="1:14" x14ac:dyDescent="0.3">
      <c r="A447" s="1" t="s">
        <v>922</v>
      </c>
      <c r="B447" s="1" t="s">
        <v>923</v>
      </c>
      <c r="C447" s="1">
        <v>22</v>
      </c>
      <c r="D447" s="1" t="s">
        <v>23</v>
      </c>
      <c r="E447" s="1" t="s">
        <v>17</v>
      </c>
      <c r="F447" s="1" t="s">
        <v>81</v>
      </c>
      <c r="G447" s="9">
        <v>1166273.99</v>
      </c>
      <c r="H447" s="1">
        <v>808529.1</v>
      </c>
      <c r="I447" s="1">
        <v>889</v>
      </c>
      <c r="J447" s="1">
        <v>50</v>
      </c>
      <c r="K447" s="1">
        <v>89797</v>
      </c>
      <c r="L447" s="1" t="s">
        <v>26</v>
      </c>
      <c r="M447" s="1" t="s">
        <v>20</v>
      </c>
      <c r="N447" s="1">
        <v>1.5</v>
      </c>
    </row>
    <row r="448" spans="1:14" x14ac:dyDescent="0.3">
      <c r="A448" s="1" t="s">
        <v>924</v>
      </c>
      <c r="B448" s="1" t="s">
        <v>925</v>
      </c>
      <c r="C448" s="1">
        <v>38</v>
      </c>
      <c r="D448" s="1" t="s">
        <v>23</v>
      </c>
      <c r="E448" s="1" t="s">
        <v>38</v>
      </c>
      <c r="F448" s="1" t="s">
        <v>25</v>
      </c>
      <c r="G448" s="9">
        <v>892846.34</v>
      </c>
      <c r="H448" s="1">
        <v>60517.08</v>
      </c>
      <c r="I448" s="1">
        <v>612</v>
      </c>
      <c r="J448" s="1">
        <v>91</v>
      </c>
      <c r="K448" s="1">
        <v>110315</v>
      </c>
      <c r="L448" s="1" t="s">
        <v>19</v>
      </c>
      <c r="M448" s="1" t="s">
        <v>20</v>
      </c>
      <c r="N448" s="1">
        <v>5</v>
      </c>
    </row>
    <row r="449" spans="1:14" x14ac:dyDescent="0.3">
      <c r="A449" s="1" t="s">
        <v>926</v>
      </c>
      <c r="B449" s="1" t="s">
        <v>927</v>
      </c>
      <c r="C449" s="1">
        <v>30</v>
      </c>
      <c r="D449" s="1" t="s">
        <v>16</v>
      </c>
      <c r="E449" s="1" t="s">
        <v>38</v>
      </c>
      <c r="F449" s="1" t="s">
        <v>81</v>
      </c>
      <c r="G449" s="9">
        <v>563862.07999999996</v>
      </c>
      <c r="H449" s="1">
        <v>1894334.46</v>
      </c>
      <c r="I449" s="1">
        <v>387</v>
      </c>
      <c r="J449" s="1">
        <v>62</v>
      </c>
      <c r="K449" s="1">
        <v>199662</v>
      </c>
      <c r="L449" s="1" t="s">
        <v>19</v>
      </c>
      <c r="M449" s="1" t="s">
        <v>33</v>
      </c>
      <c r="N449" s="1">
        <v>4</v>
      </c>
    </row>
    <row r="450" spans="1:14" x14ac:dyDescent="0.3">
      <c r="A450" s="1" t="s">
        <v>928</v>
      </c>
      <c r="B450" s="1" t="s">
        <v>929</v>
      </c>
      <c r="C450" s="1">
        <v>62</v>
      </c>
      <c r="D450" s="1" t="s">
        <v>16</v>
      </c>
      <c r="E450" s="1" t="s">
        <v>24</v>
      </c>
      <c r="F450" s="1" t="s">
        <v>81</v>
      </c>
      <c r="G450" s="9">
        <v>171360.6</v>
      </c>
      <c r="H450" s="1">
        <v>1125153.93</v>
      </c>
      <c r="I450" s="1">
        <v>323</v>
      </c>
      <c r="J450" s="1">
        <v>174</v>
      </c>
      <c r="K450" s="1">
        <v>230837</v>
      </c>
      <c r="L450" s="1" t="s">
        <v>30</v>
      </c>
      <c r="M450" s="1" t="s">
        <v>20</v>
      </c>
      <c r="N450" s="1">
        <v>1.8</v>
      </c>
    </row>
    <row r="451" spans="1:14" x14ac:dyDescent="0.3">
      <c r="A451" s="1" t="s">
        <v>930</v>
      </c>
      <c r="B451" s="1" t="s">
        <v>931</v>
      </c>
      <c r="C451" s="1">
        <v>62</v>
      </c>
      <c r="D451" s="1" t="s">
        <v>16</v>
      </c>
      <c r="E451" s="1" t="s">
        <v>55</v>
      </c>
      <c r="F451" s="1" t="s">
        <v>39</v>
      </c>
      <c r="G451" s="9">
        <v>1004049.57</v>
      </c>
      <c r="H451" s="1">
        <v>941516.67</v>
      </c>
      <c r="I451" s="1">
        <v>839</v>
      </c>
      <c r="J451" s="1">
        <v>27</v>
      </c>
      <c r="K451" s="1">
        <v>203174</v>
      </c>
      <c r="L451" s="1" t="s">
        <v>26</v>
      </c>
      <c r="M451" s="1" t="s">
        <v>20</v>
      </c>
      <c r="N451" s="1">
        <v>2</v>
      </c>
    </row>
    <row r="452" spans="1:14" x14ac:dyDescent="0.3">
      <c r="A452" s="1" t="s">
        <v>932</v>
      </c>
      <c r="B452" s="1" t="s">
        <v>933</v>
      </c>
      <c r="C452" s="1">
        <v>47</v>
      </c>
      <c r="D452" s="1" t="s">
        <v>23</v>
      </c>
      <c r="E452" s="1" t="s">
        <v>29</v>
      </c>
      <c r="F452" s="1" t="s">
        <v>18</v>
      </c>
      <c r="G452" s="9">
        <v>1418038.84</v>
      </c>
      <c r="H452" s="1">
        <v>166494.48000000001</v>
      </c>
      <c r="I452" s="1">
        <v>577</v>
      </c>
      <c r="J452" s="1">
        <v>344</v>
      </c>
      <c r="K452" s="1">
        <v>191640</v>
      </c>
      <c r="L452" s="1" t="s">
        <v>26</v>
      </c>
      <c r="M452" s="1" t="s">
        <v>33</v>
      </c>
      <c r="N452" s="1">
        <v>4.4000000000000004</v>
      </c>
    </row>
    <row r="453" spans="1:14" x14ac:dyDescent="0.3">
      <c r="A453" s="1" t="s">
        <v>934</v>
      </c>
      <c r="B453" s="1" t="s">
        <v>935</v>
      </c>
      <c r="C453" s="1">
        <v>32</v>
      </c>
      <c r="D453" s="1" t="s">
        <v>16</v>
      </c>
      <c r="E453" s="1" t="s">
        <v>38</v>
      </c>
      <c r="F453" s="1" t="s">
        <v>39</v>
      </c>
      <c r="G453" s="9">
        <v>765267.8</v>
      </c>
      <c r="H453" s="1">
        <v>1774222</v>
      </c>
      <c r="I453" s="1">
        <v>623</v>
      </c>
      <c r="J453" s="1">
        <v>253</v>
      </c>
      <c r="K453" s="1">
        <v>119798</v>
      </c>
      <c r="L453" s="1" t="s">
        <v>30</v>
      </c>
      <c r="M453" s="1" t="s">
        <v>20</v>
      </c>
      <c r="N453" s="1">
        <v>4.5</v>
      </c>
    </row>
    <row r="454" spans="1:14" x14ac:dyDescent="0.3">
      <c r="A454" s="1" t="s">
        <v>936</v>
      </c>
      <c r="B454" s="1" t="s">
        <v>937</v>
      </c>
      <c r="C454" s="1">
        <v>20</v>
      </c>
      <c r="D454" s="1" t="s">
        <v>16</v>
      </c>
      <c r="E454" s="1" t="s">
        <v>48</v>
      </c>
      <c r="F454" s="1" t="s">
        <v>81</v>
      </c>
      <c r="G454" s="9">
        <v>1383793.82</v>
      </c>
      <c r="H454" s="1">
        <v>762318.81</v>
      </c>
      <c r="I454" s="1">
        <v>801</v>
      </c>
      <c r="J454" s="1">
        <v>206</v>
      </c>
      <c r="K454" s="1">
        <v>84852</v>
      </c>
      <c r="L454" s="1" t="s">
        <v>26</v>
      </c>
      <c r="M454" s="1" t="s">
        <v>33</v>
      </c>
      <c r="N454" s="1">
        <v>4</v>
      </c>
    </row>
    <row r="455" spans="1:14" x14ac:dyDescent="0.3">
      <c r="A455" s="1" t="s">
        <v>938</v>
      </c>
      <c r="B455" s="1" t="s">
        <v>939</v>
      </c>
      <c r="C455" s="1">
        <v>33</v>
      </c>
      <c r="D455" s="1" t="s">
        <v>16</v>
      </c>
      <c r="E455" s="1" t="s">
        <v>55</v>
      </c>
      <c r="F455" s="1" t="s">
        <v>39</v>
      </c>
      <c r="G455" s="9">
        <v>417438.03</v>
      </c>
      <c r="H455" s="1">
        <v>155024.24</v>
      </c>
      <c r="I455" s="1">
        <v>563</v>
      </c>
      <c r="J455" s="1">
        <v>454</v>
      </c>
      <c r="K455" s="1">
        <v>151400</v>
      </c>
      <c r="L455" s="1" t="s">
        <v>40</v>
      </c>
      <c r="M455" s="1" t="s">
        <v>33</v>
      </c>
      <c r="N455" s="1">
        <v>2.5</v>
      </c>
    </row>
    <row r="456" spans="1:14" x14ac:dyDescent="0.3">
      <c r="A456" s="1" t="s">
        <v>940</v>
      </c>
      <c r="B456" s="1" t="s">
        <v>941</v>
      </c>
      <c r="C456" s="1">
        <v>43</v>
      </c>
      <c r="D456" s="1" t="s">
        <v>16</v>
      </c>
      <c r="E456" s="1" t="s">
        <v>17</v>
      </c>
      <c r="F456" s="1" t="s">
        <v>39</v>
      </c>
      <c r="G456" s="9">
        <v>210204.71</v>
      </c>
      <c r="H456" s="1">
        <v>1824724.16</v>
      </c>
      <c r="I456" s="1">
        <v>833</v>
      </c>
      <c r="J456" s="1">
        <v>496</v>
      </c>
      <c r="K456" s="1">
        <v>192210</v>
      </c>
      <c r="L456" s="1" t="s">
        <v>40</v>
      </c>
      <c r="M456" s="1" t="s">
        <v>33</v>
      </c>
      <c r="N456" s="1">
        <v>3.7</v>
      </c>
    </row>
    <row r="457" spans="1:14" x14ac:dyDescent="0.3">
      <c r="A457" s="1" t="s">
        <v>942</v>
      </c>
      <c r="B457" s="1" t="s">
        <v>943</v>
      </c>
      <c r="C457" s="1">
        <v>37</v>
      </c>
      <c r="D457" s="1" t="s">
        <v>16</v>
      </c>
      <c r="E457" s="1" t="s">
        <v>38</v>
      </c>
      <c r="F457" s="1" t="s">
        <v>81</v>
      </c>
      <c r="G457" s="9">
        <v>497280.68</v>
      </c>
      <c r="H457" s="1">
        <v>1355584.38</v>
      </c>
      <c r="I457" s="1">
        <v>511</v>
      </c>
      <c r="J457" s="1">
        <v>339</v>
      </c>
      <c r="K457" s="1">
        <v>178693</v>
      </c>
      <c r="L457" s="1" t="s">
        <v>40</v>
      </c>
      <c r="M457" s="1" t="s">
        <v>33</v>
      </c>
      <c r="N457" s="1">
        <v>1.6</v>
      </c>
    </row>
    <row r="458" spans="1:14" x14ac:dyDescent="0.3">
      <c r="A458" s="1" t="s">
        <v>944</v>
      </c>
      <c r="B458" s="1" t="s">
        <v>945</v>
      </c>
      <c r="C458" s="1">
        <v>67</v>
      </c>
      <c r="D458" s="1" t="s">
        <v>16</v>
      </c>
      <c r="E458" s="1" t="s">
        <v>38</v>
      </c>
      <c r="F458" s="1" t="s">
        <v>81</v>
      </c>
      <c r="G458" s="9">
        <v>986066.47</v>
      </c>
      <c r="H458" s="1">
        <v>1412110.72</v>
      </c>
      <c r="I458" s="1">
        <v>461</v>
      </c>
      <c r="J458" s="1">
        <v>167</v>
      </c>
      <c r="K458" s="1">
        <v>58050</v>
      </c>
      <c r="L458" s="1" t="s">
        <v>40</v>
      </c>
      <c r="M458" s="1" t="s">
        <v>20</v>
      </c>
      <c r="N458" s="1">
        <v>1.3</v>
      </c>
    </row>
    <row r="459" spans="1:14" x14ac:dyDescent="0.3">
      <c r="A459" s="1" t="s">
        <v>946</v>
      </c>
      <c r="B459" s="1" t="s">
        <v>947</v>
      </c>
      <c r="C459" s="1">
        <v>66</v>
      </c>
      <c r="D459" s="1" t="s">
        <v>23</v>
      </c>
      <c r="E459" s="1" t="s">
        <v>38</v>
      </c>
      <c r="F459" s="1" t="s">
        <v>39</v>
      </c>
      <c r="G459" s="9">
        <v>1320797.19</v>
      </c>
      <c r="H459" s="1">
        <v>1035100.39</v>
      </c>
      <c r="I459" s="1">
        <v>721</v>
      </c>
      <c r="J459" s="1">
        <v>160</v>
      </c>
      <c r="K459" s="1">
        <v>103542</v>
      </c>
      <c r="L459" s="1" t="s">
        <v>19</v>
      </c>
      <c r="M459" s="1" t="s">
        <v>20</v>
      </c>
      <c r="N459" s="1">
        <v>2.8</v>
      </c>
    </row>
    <row r="460" spans="1:14" x14ac:dyDescent="0.3">
      <c r="A460" s="1" t="s">
        <v>948</v>
      </c>
      <c r="B460" s="1" t="s">
        <v>949</v>
      </c>
      <c r="C460" s="1">
        <v>29</v>
      </c>
      <c r="D460" s="1" t="s">
        <v>16</v>
      </c>
      <c r="E460" s="1" t="s">
        <v>24</v>
      </c>
      <c r="F460" s="1" t="s">
        <v>39</v>
      </c>
      <c r="G460" s="9">
        <v>1144858.99</v>
      </c>
      <c r="H460" s="1">
        <v>1529953.99</v>
      </c>
      <c r="I460" s="1">
        <v>573</v>
      </c>
      <c r="J460" s="1">
        <v>315</v>
      </c>
      <c r="K460" s="1">
        <v>26867</v>
      </c>
      <c r="L460" s="1" t="s">
        <v>19</v>
      </c>
      <c r="M460" s="1" t="s">
        <v>33</v>
      </c>
      <c r="N460" s="1">
        <v>3.3</v>
      </c>
    </row>
    <row r="461" spans="1:14" x14ac:dyDescent="0.3">
      <c r="A461" s="1" t="s">
        <v>950</v>
      </c>
      <c r="B461" s="1" t="s">
        <v>951</v>
      </c>
      <c r="C461" s="1">
        <v>23</v>
      </c>
      <c r="D461" s="1" t="s">
        <v>16</v>
      </c>
      <c r="E461" s="1" t="s">
        <v>17</v>
      </c>
      <c r="F461" s="1" t="s">
        <v>25</v>
      </c>
      <c r="G461" s="9">
        <v>1170840.24</v>
      </c>
      <c r="H461" s="1">
        <v>335216.57</v>
      </c>
      <c r="I461" s="1">
        <v>780</v>
      </c>
      <c r="J461" s="1">
        <v>369</v>
      </c>
      <c r="K461" s="1">
        <v>200392</v>
      </c>
      <c r="L461" s="1" t="s">
        <v>30</v>
      </c>
      <c r="M461" s="1" t="s">
        <v>20</v>
      </c>
      <c r="N461" s="1">
        <v>3.6</v>
      </c>
    </row>
    <row r="462" spans="1:14" x14ac:dyDescent="0.3">
      <c r="A462" s="1" t="s">
        <v>952</v>
      </c>
      <c r="B462" s="1" t="s">
        <v>953</v>
      </c>
      <c r="C462" s="1">
        <v>28</v>
      </c>
      <c r="D462" s="1" t="s">
        <v>23</v>
      </c>
      <c r="E462" s="1" t="s">
        <v>24</v>
      </c>
      <c r="F462" s="1" t="s">
        <v>39</v>
      </c>
      <c r="G462" s="9">
        <v>343278.22</v>
      </c>
      <c r="H462" s="1">
        <v>1021472.9</v>
      </c>
      <c r="I462" s="1">
        <v>315</v>
      </c>
      <c r="J462" s="1">
        <v>478</v>
      </c>
      <c r="K462" s="1">
        <v>70661</v>
      </c>
      <c r="L462" s="1" t="s">
        <v>40</v>
      </c>
      <c r="M462" s="1" t="s">
        <v>20</v>
      </c>
      <c r="N462" s="1">
        <v>2.1</v>
      </c>
    </row>
    <row r="463" spans="1:14" x14ac:dyDescent="0.3">
      <c r="A463" s="1" t="s">
        <v>954</v>
      </c>
      <c r="B463" s="1" t="s">
        <v>955</v>
      </c>
      <c r="C463" s="1">
        <v>29</v>
      </c>
      <c r="D463" s="1" t="s">
        <v>16</v>
      </c>
      <c r="E463" s="1" t="s">
        <v>17</v>
      </c>
      <c r="F463" s="1" t="s">
        <v>25</v>
      </c>
      <c r="G463" s="9">
        <v>1301357.8600000001</v>
      </c>
      <c r="H463" s="1">
        <v>1224857.25</v>
      </c>
      <c r="I463" s="1">
        <v>632</v>
      </c>
      <c r="J463" s="1">
        <v>448</v>
      </c>
      <c r="K463" s="1">
        <v>135155</v>
      </c>
      <c r="L463" s="1" t="s">
        <v>19</v>
      </c>
      <c r="M463" s="1" t="s">
        <v>33</v>
      </c>
      <c r="N463" s="1">
        <v>2.8</v>
      </c>
    </row>
    <row r="464" spans="1:14" x14ac:dyDescent="0.3">
      <c r="A464" s="1" t="s">
        <v>956</v>
      </c>
      <c r="B464" s="1" t="s">
        <v>957</v>
      </c>
      <c r="C464" s="1">
        <v>64</v>
      </c>
      <c r="D464" s="1" t="s">
        <v>16</v>
      </c>
      <c r="E464" s="1" t="s">
        <v>29</v>
      </c>
      <c r="F464" s="1" t="s">
        <v>25</v>
      </c>
      <c r="G464" s="9">
        <v>594255.31000000006</v>
      </c>
      <c r="H464" s="1">
        <v>2347847.83</v>
      </c>
      <c r="I464" s="1">
        <v>885</v>
      </c>
      <c r="J464" s="1">
        <v>309</v>
      </c>
      <c r="K464" s="1">
        <v>102024</v>
      </c>
      <c r="L464" s="1" t="s">
        <v>30</v>
      </c>
      <c r="M464" s="1" t="s">
        <v>20</v>
      </c>
      <c r="N464" s="1">
        <v>3.1</v>
      </c>
    </row>
    <row r="465" spans="1:14" x14ac:dyDescent="0.3">
      <c r="A465" s="1" t="s">
        <v>958</v>
      </c>
      <c r="B465" s="1" t="s">
        <v>959</v>
      </c>
      <c r="C465" s="1">
        <v>33</v>
      </c>
      <c r="D465" s="1" t="s">
        <v>16</v>
      </c>
      <c r="E465" s="1" t="s">
        <v>24</v>
      </c>
      <c r="F465" s="1" t="s">
        <v>81</v>
      </c>
      <c r="G465" s="9">
        <v>809114.37</v>
      </c>
      <c r="H465" s="1">
        <v>2459576.61</v>
      </c>
      <c r="I465" s="1">
        <v>340</v>
      </c>
      <c r="J465" s="1">
        <v>290</v>
      </c>
      <c r="K465" s="1">
        <v>155974</v>
      </c>
      <c r="L465" s="1" t="s">
        <v>30</v>
      </c>
      <c r="M465" s="1" t="s">
        <v>33</v>
      </c>
      <c r="N465" s="1">
        <v>2.5</v>
      </c>
    </row>
    <row r="466" spans="1:14" x14ac:dyDescent="0.3">
      <c r="A466" s="1" t="s">
        <v>960</v>
      </c>
      <c r="B466" s="1" t="s">
        <v>961</v>
      </c>
      <c r="C466" s="1">
        <v>37</v>
      </c>
      <c r="D466" s="1" t="s">
        <v>16</v>
      </c>
      <c r="E466" s="1" t="s">
        <v>38</v>
      </c>
      <c r="F466" s="1" t="s">
        <v>25</v>
      </c>
      <c r="G466" s="9">
        <v>1242293.4099999999</v>
      </c>
      <c r="H466" s="1">
        <v>1153367.9099999999</v>
      </c>
      <c r="I466" s="1">
        <v>732</v>
      </c>
      <c r="J466" s="1">
        <v>155</v>
      </c>
      <c r="K466" s="1">
        <v>222814</v>
      </c>
      <c r="L466" s="1" t="s">
        <v>30</v>
      </c>
      <c r="M466" s="1" t="s">
        <v>20</v>
      </c>
      <c r="N466" s="1">
        <v>3.5</v>
      </c>
    </row>
    <row r="467" spans="1:14" x14ac:dyDescent="0.3">
      <c r="A467" s="1" t="s">
        <v>962</v>
      </c>
      <c r="B467" s="1" t="s">
        <v>963</v>
      </c>
      <c r="C467" s="1">
        <v>64</v>
      </c>
      <c r="D467" s="1" t="s">
        <v>23</v>
      </c>
      <c r="E467" s="1" t="s">
        <v>45</v>
      </c>
      <c r="F467" s="1" t="s">
        <v>18</v>
      </c>
      <c r="G467" s="9">
        <v>174191.52</v>
      </c>
      <c r="H467" s="1">
        <v>1946827.85</v>
      </c>
      <c r="I467" s="1">
        <v>859</v>
      </c>
      <c r="J467" s="1">
        <v>74</v>
      </c>
      <c r="K467" s="1">
        <v>151244</v>
      </c>
      <c r="L467" s="1" t="s">
        <v>40</v>
      </c>
      <c r="M467" s="1" t="s">
        <v>33</v>
      </c>
      <c r="N467" s="1">
        <v>2.6</v>
      </c>
    </row>
    <row r="468" spans="1:14" x14ac:dyDescent="0.3">
      <c r="A468" s="1" t="s">
        <v>964</v>
      </c>
      <c r="B468" s="1" t="s">
        <v>965</v>
      </c>
      <c r="C468" s="1">
        <v>55</v>
      </c>
      <c r="D468" s="1" t="s">
        <v>16</v>
      </c>
      <c r="E468" s="1" t="s">
        <v>29</v>
      </c>
      <c r="F468" s="1" t="s">
        <v>18</v>
      </c>
      <c r="G468" s="9">
        <v>1344213.39</v>
      </c>
      <c r="H468" s="1">
        <v>2206371.12</v>
      </c>
      <c r="I468" s="1">
        <v>392</v>
      </c>
      <c r="J468" s="1">
        <v>133</v>
      </c>
      <c r="K468" s="1">
        <v>206812</v>
      </c>
      <c r="L468" s="1" t="s">
        <v>19</v>
      </c>
      <c r="M468" s="1" t="s">
        <v>33</v>
      </c>
      <c r="N468" s="1">
        <v>2.2999999999999998</v>
      </c>
    </row>
    <row r="469" spans="1:14" x14ac:dyDescent="0.3">
      <c r="A469" s="1" t="s">
        <v>966</v>
      </c>
      <c r="B469" s="1" t="s">
        <v>967</v>
      </c>
      <c r="C469" s="1">
        <v>58</v>
      </c>
      <c r="D469" s="1" t="s">
        <v>23</v>
      </c>
      <c r="E469" s="1" t="s">
        <v>17</v>
      </c>
      <c r="F469" s="1" t="s">
        <v>18</v>
      </c>
      <c r="G469" s="9">
        <v>132533.28</v>
      </c>
      <c r="H469" s="1">
        <v>1768197.8</v>
      </c>
      <c r="I469" s="1">
        <v>823</v>
      </c>
      <c r="J469" s="1">
        <v>318</v>
      </c>
      <c r="K469" s="1">
        <v>115143</v>
      </c>
      <c r="L469" s="1" t="s">
        <v>40</v>
      </c>
      <c r="M469" s="1" t="s">
        <v>33</v>
      </c>
      <c r="N469" s="1">
        <v>4.8</v>
      </c>
    </row>
    <row r="470" spans="1:14" x14ac:dyDescent="0.3">
      <c r="A470" s="1" t="s">
        <v>968</v>
      </c>
      <c r="B470" s="1" t="s">
        <v>969</v>
      </c>
      <c r="C470" s="1">
        <v>54</v>
      </c>
      <c r="D470" s="1" t="s">
        <v>16</v>
      </c>
      <c r="E470" s="1" t="s">
        <v>17</v>
      </c>
      <c r="F470" s="1" t="s">
        <v>81</v>
      </c>
      <c r="G470" s="9">
        <v>990997.86</v>
      </c>
      <c r="H470" s="1">
        <v>375224.34</v>
      </c>
      <c r="I470" s="1">
        <v>448</v>
      </c>
      <c r="J470" s="1">
        <v>96</v>
      </c>
      <c r="K470" s="1">
        <v>248407</v>
      </c>
      <c r="L470" s="1" t="s">
        <v>26</v>
      </c>
      <c r="M470" s="1" t="s">
        <v>33</v>
      </c>
      <c r="N470" s="1">
        <v>4.0999999999999996</v>
      </c>
    </row>
    <row r="471" spans="1:14" x14ac:dyDescent="0.3">
      <c r="A471" s="1" t="s">
        <v>970</v>
      </c>
      <c r="B471" s="1" t="s">
        <v>971</v>
      </c>
      <c r="C471" s="1">
        <v>36</v>
      </c>
      <c r="D471" s="1" t="s">
        <v>23</v>
      </c>
      <c r="E471" s="1" t="s">
        <v>76</v>
      </c>
      <c r="F471" s="1" t="s">
        <v>25</v>
      </c>
      <c r="G471" s="9">
        <v>275140.56</v>
      </c>
      <c r="H471" s="1">
        <v>2246354.7799999998</v>
      </c>
      <c r="I471" s="1">
        <v>507</v>
      </c>
      <c r="J471" s="1">
        <v>6</v>
      </c>
      <c r="K471" s="1">
        <v>184220</v>
      </c>
      <c r="L471" s="1" t="s">
        <v>30</v>
      </c>
      <c r="M471" s="1" t="s">
        <v>33</v>
      </c>
      <c r="N471" s="1">
        <v>3.5</v>
      </c>
    </row>
    <row r="472" spans="1:14" x14ac:dyDescent="0.3">
      <c r="A472" s="1" t="s">
        <v>972</v>
      </c>
      <c r="B472" s="1" t="s">
        <v>973</v>
      </c>
      <c r="C472" s="1">
        <v>52</v>
      </c>
      <c r="D472" s="1" t="s">
        <v>23</v>
      </c>
      <c r="E472" s="1" t="s">
        <v>45</v>
      </c>
      <c r="F472" s="1" t="s">
        <v>25</v>
      </c>
      <c r="G472" s="9">
        <v>13597.07</v>
      </c>
      <c r="H472" s="1">
        <v>2206757.2999999998</v>
      </c>
      <c r="I472" s="1">
        <v>543</v>
      </c>
      <c r="J472" s="1">
        <v>116</v>
      </c>
      <c r="K472" s="1">
        <v>231669</v>
      </c>
      <c r="L472" s="1" t="s">
        <v>30</v>
      </c>
      <c r="M472" s="1" t="s">
        <v>20</v>
      </c>
      <c r="N472" s="1">
        <v>3.4</v>
      </c>
    </row>
    <row r="473" spans="1:14" x14ac:dyDescent="0.3">
      <c r="A473" s="1" t="s">
        <v>974</v>
      </c>
      <c r="B473" s="1" t="s">
        <v>975</v>
      </c>
      <c r="C473" s="1">
        <v>56</v>
      </c>
      <c r="D473" s="1" t="s">
        <v>16</v>
      </c>
      <c r="E473" s="1" t="s">
        <v>76</v>
      </c>
      <c r="F473" s="1" t="s">
        <v>39</v>
      </c>
      <c r="G473" s="9">
        <v>14826.67</v>
      </c>
      <c r="H473" s="1">
        <v>2205419.66</v>
      </c>
      <c r="I473" s="1">
        <v>584</v>
      </c>
      <c r="J473" s="1">
        <v>322</v>
      </c>
      <c r="K473" s="1">
        <v>177313</v>
      </c>
      <c r="L473" s="1" t="s">
        <v>40</v>
      </c>
      <c r="M473" s="1" t="s">
        <v>20</v>
      </c>
      <c r="N473" s="1">
        <v>3.5</v>
      </c>
    </row>
    <row r="474" spans="1:14" x14ac:dyDescent="0.3">
      <c r="A474" s="1" t="s">
        <v>976</v>
      </c>
      <c r="B474" s="1" t="s">
        <v>977</v>
      </c>
      <c r="C474" s="1">
        <v>59</v>
      </c>
      <c r="D474" s="1" t="s">
        <v>23</v>
      </c>
      <c r="E474" s="1" t="s">
        <v>29</v>
      </c>
      <c r="F474" s="1" t="s">
        <v>18</v>
      </c>
      <c r="G474" s="9">
        <v>59897.97</v>
      </c>
      <c r="H474" s="1">
        <v>2134573.2200000002</v>
      </c>
      <c r="I474" s="1">
        <v>891</v>
      </c>
      <c r="J474" s="1">
        <v>434</v>
      </c>
      <c r="K474" s="1">
        <v>111493</v>
      </c>
      <c r="L474" s="1" t="s">
        <v>19</v>
      </c>
      <c r="M474" s="1" t="s">
        <v>33</v>
      </c>
      <c r="N474" s="1">
        <v>3.4</v>
      </c>
    </row>
    <row r="475" spans="1:14" x14ac:dyDescent="0.3">
      <c r="A475" s="1" t="s">
        <v>978</v>
      </c>
      <c r="B475" s="1" t="s">
        <v>979</v>
      </c>
      <c r="C475" s="1">
        <v>29</v>
      </c>
      <c r="D475" s="1" t="s">
        <v>23</v>
      </c>
      <c r="E475" s="1" t="s">
        <v>48</v>
      </c>
      <c r="F475" s="1" t="s">
        <v>18</v>
      </c>
      <c r="G475" s="9">
        <v>1009775.29</v>
      </c>
      <c r="H475" s="1">
        <v>1527724.39</v>
      </c>
      <c r="I475" s="1">
        <v>886</v>
      </c>
      <c r="J475" s="1">
        <v>408</v>
      </c>
      <c r="K475" s="1">
        <v>62293</v>
      </c>
      <c r="L475" s="1" t="s">
        <v>19</v>
      </c>
      <c r="M475" s="1" t="s">
        <v>33</v>
      </c>
      <c r="N475" s="1">
        <v>3.2</v>
      </c>
    </row>
    <row r="476" spans="1:14" x14ac:dyDescent="0.3">
      <c r="A476" s="1" t="s">
        <v>980</v>
      </c>
      <c r="B476" s="1" t="s">
        <v>981</v>
      </c>
      <c r="C476" s="1">
        <v>38</v>
      </c>
      <c r="D476" s="1" t="s">
        <v>23</v>
      </c>
      <c r="E476" s="1" t="s">
        <v>45</v>
      </c>
      <c r="F476" s="1" t="s">
        <v>39</v>
      </c>
      <c r="G476" s="9">
        <v>1346807.02</v>
      </c>
      <c r="H476" s="1">
        <v>2050661.86</v>
      </c>
      <c r="I476" s="1">
        <v>737</v>
      </c>
      <c r="J476" s="1">
        <v>436</v>
      </c>
      <c r="K476" s="1">
        <v>116618</v>
      </c>
      <c r="L476" s="1" t="s">
        <v>19</v>
      </c>
      <c r="M476" s="1" t="s">
        <v>33</v>
      </c>
      <c r="N476" s="1">
        <v>3.2</v>
      </c>
    </row>
    <row r="477" spans="1:14" x14ac:dyDescent="0.3">
      <c r="A477" s="1" t="s">
        <v>982</v>
      </c>
      <c r="B477" s="1" t="s">
        <v>983</v>
      </c>
      <c r="C477" s="1">
        <v>39</v>
      </c>
      <c r="D477" s="1" t="s">
        <v>16</v>
      </c>
      <c r="E477" s="1" t="s">
        <v>45</v>
      </c>
      <c r="F477" s="1" t="s">
        <v>81</v>
      </c>
      <c r="G477" s="9">
        <v>623568.06999999995</v>
      </c>
      <c r="H477" s="1">
        <v>524613.42000000004</v>
      </c>
      <c r="I477" s="1">
        <v>514</v>
      </c>
      <c r="J477" s="1">
        <v>318</v>
      </c>
      <c r="K477" s="1">
        <v>158163</v>
      </c>
      <c r="L477" s="1" t="s">
        <v>30</v>
      </c>
      <c r="M477" s="1" t="s">
        <v>33</v>
      </c>
      <c r="N477" s="1">
        <v>1.2</v>
      </c>
    </row>
    <row r="478" spans="1:14" x14ac:dyDescent="0.3">
      <c r="A478" s="1" t="s">
        <v>984</v>
      </c>
      <c r="B478" s="1" t="s">
        <v>985</v>
      </c>
      <c r="C478" s="1">
        <v>34</v>
      </c>
      <c r="D478" s="1" t="s">
        <v>23</v>
      </c>
      <c r="E478" s="1" t="s">
        <v>45</v>
      </c>
      <c r="F478" s="1" t="s">
        <v>39</v>
      </c>
      <c r="G478" s="9">
        <v>864838.32</v>
      </c>
      <c r="H478" s="1">
        <v>1558110.37</v>
      </c>
      <c r="I478" s="1">
        <v>432</v>
      </c>
      <c r="J478" s="1">
        <v>319</v>
      </c>
      <c r="K478" s="1">
        <v>157728</v>
      </c>
      <c r="L478" s="1" t="s">
        <v>40</v>
      </c>
      <c r="M478" s="1" t="s">
        <v>33</v>
      </c>
      <c r="N478" s="1">
        <v>3.3</v>
      </c>
    </row>
    <row r="479" spans="1:14" x14ac:dyDescent="0.3">
      <c r="A479" s="1" t="s">
        <v>986</v>
      </c>
      <c r="B479" s="1" t="s">
        <v>987</v>
      </c>
      <c r="C479" s="1">
        <v>30</v>
      </c>
      <c r="D479" s="1" t="s">
        <v>23</v>
      </c>
      <c r="E479" s="1" t="s">
        <v>17</v>
      </c>
      <c r="F479" s="1" t="s">
        <v>18</v>
      </c>
      <c r="G479" s="9">
        <v>181719.67</v>
      </c>
      <c r="H479" s="1">
        <v>1162214.0900000001</v>
      </c>
      <c r="I479" s="1">
        <v>420</v>
      </c>
      <c r="J479" s="1">
        <v>382</v>
      </c>
      <c r="K479" s="1">
        <v>20414</v>
      </c>
      <c r="L479" s="1" t="s">
        <v>26</v>
      </c>
      <c r="M479" s="1" t="s">
        <v>33</v>
      </c>
      <c r="N479" s="1">
        <v>4.4000000000000004</v>
      </c>
    </row>
    <row r="480" spans="1:14" x14ac:dyDescent="0.3">
      <c r="A480" s="1" t="s">
        <v>988</v>
      </c>
      <c r="B480" s="1" t="s">
        <v>989</v>
      </c>
      <c r="C480" s="1">
        <v>53</v>
      </c>
      <c r="D480" s="1" t="s">
        <v>16</v>
      </c>
      <c r="E480" s="1" t="s">
        <v>55</v>
      </c>
      <c r="F480" s="1" t="s">
        <v>81</v>
      </c>
      <c r="G480" s="9">
        <v>958067.8</v>
      </c>
      <c r="H480" s="1">
        <v>28243.17</v>
      </c>
      <c r="I480" s="1">
        <v>506</v>
      </c>
      <c r="J480" s="1">
        <v>358</v>
      </c>
      <c r="K480" s="1">
        <v>231299</v>
      </c>
      <c r="L480" s="1" t="s">
        <v>26</v>
      </c>
      <c r="M480" s="1" t="s">
        <v>20</v>
      </c>
      <c r="N480" s="1">
        <v>2.1</v>
      </c>
    </row>
    <row r="481" spans="1:14" x14ac:dyDescent="0.3">
      <c r="A481" s="1" t="s">
        <v>990</v>
      </c>
      <c r="B481" s="1" t="s">
        <v>991</v>
      </c>
      <c r="C481" s="1">
        <v>25</v>
      </c>
      <c r="D481" s="1" t="s">
        <v>16</v>
      </c>
      <c r="E481" s="1" t="s">
        <v>24</v>
      </c>
      <c r="F481" s="1" t="s">
        <v>81</v>
      </c>
      <c r="G481" s="9">
        <v>503257.92</v>
      </c>
      <c r="H481" s="1">
        <v>990123.32</v>
      </c>
      <c r="I481" s="1">
        <v>882</v>
      </c>
      <c r="J481" s="1">
        <v>320</v>
      </c>
      <c r="K481" s="1">
        <v>199787</v>
      </c>
      <c r="L481" s="1" t="s">
        <v>26</v>
      </c>
      <c r="M481" s="1" t="s">
        <v>33</v>
      </c>
      <c r="N481" s="1">
        <v>4.8</v>
      </c>
    </row>
    <row r="482" spans="1:14" x14ac:dyDescent="0.3">
      <c r="A482" s="1" t="s">
        <v>992</v>
      </c>
      <c r="B482" s="1" t="s">
        <v>993</v>
      </c>
      <c r="C482" s="1">
        <v>48</v>
      </c>
      <c r="D482" s="1" t="s">
        <v>23</v>
      </c>
      <c r="E482" s="1" t="s">
        <v>45</v>
      </c>
      <c r="F482" s="1" t="s">
        <v>25</v>
      </c>
      <c r="G482" s="9">
        <v>58159.59</v>
      </c>
      <c r="H482" s="1">
        <v>339384.74</v>
      </c>
      <c r="I482" s="1">
        <v>459</v>
      </c>
      <c r="J482" s="1">
        <v>326</v>
      </c>
      <c r="K482" s="1">
        <v>228995</v>
      </c>
      <c r="L482" s="1" t="s">
        <v>19</v>
      </c>
      <c r="M482" s="1" t="s">
        <v>33</v>
      </c>
      <c r="N482" s="1">
        <v>2.8</v>
      </c>
    </row>
    <row r="483" spans="1:14" x14ac:dyDescent="0.3">
      <c r="A483" s="1" t="s">
        <v>994</v>
      </c>
      <c r="B483" s="1" t="s">
        <v>995</v>
      </c>
      <c r="C483" s="1">
        <v>54</v>
      </c>
      <c r="D483" s="1" t="s">
        <v>23</v>
      </c>
      <c r="E483" s="1" t="s">
        <v>48</v>
      </c>
      <c r="F483" s="1" t="s">
        <v>18</v>
      </c>
      <c r="G483" s="9">
        <v>1018905.45</v>
      </c>
      <c r="H483" s="1">
        <v>1387943.02</v>
      </c>
      <c r="I483" s="1">
        <v>319</v>
      </c>
      <c r="J483" s="1">
        <v>111</v>
      </c>
      <c r="K483" s="1">
        <v>210045</v>
      </c>
      <c r="L483" s="1" t="s">
        <v>40</v>
      </c>
      <c r="M483" s="1" t="s">
        <v>33</v>
      </c>
      <c r="N483" s="1">
        <v>3.3</v>
      </c>
    </row>
    <row r="484" spans="1:14" x14ac:dyDescent="0.3">
      <c r="A484" s="1" t="s">
        <v>996</v>
      </c>
      <c r="B484" s="1" t="s">
        <v>997</v>
      </c>
      <c r="C484" s="1">
        <v>19</v>
      </c>
      <c r="D484" s="1" t="s">
        <v>16</v>
      </c>
      <c r="E484" s="1" t="s">
        <v>29</v>
      </c>
      <c r="F484" s="1" t="s">
        <v>81</v>
      </c>
      <c r="G484" s="9">
        <v>1475510.06</v>
      </c>
      <c r="H484" s="1">
        <v>1566277.12</v>
      </c>
      <c r="I484" s="1">
        <v>469</v>
      </c>
      <c r="J484" s="1">
        <v>297</v>
      </c>
      <c r="K484" s="1">
        <v>108906</v>
      </c>
      <c r="L484" s="1" t="s">
        <v>26</v>
      </c>
      <c r="M484" s="1" t="s">
        <v>20</v>
      </c>
      <c r="N484" s="1">
        <v>3.4</v>
      </c>
    </row>
    <row r="485" spans="1:14" x14ac:dyDescent="0.3">
      <c r="A485" s="1" t="s">
        <v>998</v>
      </c>
      <c r="B485" s="1" t="s">
        <v>999</v>
      </c>
      <c r="C485" s="1">
        <v>35</v>
      </c>
      <c r="D485" s="1" t="s">
        <v>23</v>
      </c>
      <c r="E485" s="1" t="s">
        <v>24</v>
      </c>
      <c r="F485" s="1" t="s">
        <v>81</v>
      </c>
      <c r="G485" s="9">
        <v>134762.69</v>
      </c>
      <c r="H485" s="1">
        <v>2192621.83</v>
      </c>
      <c r="I485" s="1">
        <v>680</v>
      </c>
      <c r="J485" s="1">
        <v>236</v>
      </c>
      <c r="K485" s="1">
        <v>128493</v>
      </c>
      <c r="L485" s="1" t="s">
        <v>40</v>
      </c>
      <c r="M485" s="1" t="s">
        <v>20</v>
      </c>
      <c r="N485" s="1">
        <v>4.3</v>
      </c>
    </row>
    <row r="486" spans="1:14" x14ac:dyDescent="0.3">
      <c r="A486" s="1" t="s">
        <v>1000</v>
      </c>
      <c r="B486" s="1" t="s">
        <v>1001</v>
      </c>
      <c r="C486" s="1">
        <v>41</v>
      </c>
      <c r="D486" s="1" t="s">
        <v>23</v>
      </c>
      <c r="E486" s="1" t="s">
        <v>38</v>
      </c>
      <c r="F486" s="1" t="s">
        <v>39</v>
      </c>
      <c r="G486" s="9">
        <v>60905.58</v>
      </c>
      <c r="H486" s="1">
        <v>505246.03</v>
      </c>
      <c r="I486" s="1">
        <v>394</v>
      </c>
      <c r="J486" s="1">
        <v>232</v>
      </c>
      <c r="K486" s="1">
        <v>225768</v>
      </c>
      <c r="L486" s="1" t="s">
        <v>26</v>
      </c>
      <c r="M486" s="1" t="s">
        <v>33</v>
      </c>
      <c r="N486" s="1">
        <v>3</v>
      </c>
    </row>
    <row r="487" spans="1:14" x14ac:dyDescent="0.3">
      <c r="A487" s="1" t="s">
        <v>1002</v>
      </c>
      <c r="B487" s="1" t="s">
        <v>1003</v>
      </c>
      <c r="C487" s="1">
        <v>64</v>
      </c>
      <c r="D487" s="1" t="s">
        <v>16</v>
      </c>
      <c r="E487" s="1" t="s">
        <v>24</v>
      </c>
      <c r="F487" s="1" t="s">
        <v>18</v>
      </c>
      <c r="G487" s="9">
        <v>787823.8</v>
      </c>
      <c r="H487" s="1">
        <v>1938833.02</v>
      </c>
      <c r="I487" s="1">
        <v>446</v>
      </c>
      <c r="J487" s="1">
        <v>398</v>
      </c>
      <c r="K487" s="1">
        <v>249082</v>
      </c>
      <c r="L487" s="1" t="s">
        <v>30</v>
      </c>
      <c r="M487" s="1" t="s">
        <v>33</v>
      </c>
      <c r="N487" s="1">
        <v>4.5</v>
      </c>
    </row>
    <row r="488" spans="1:14" x14ac:dyDescent="0.3">
      <c r="A488" s="1" t="s">
        <v>1004</v>
      </c>
      <c r="B488" s="1" t="s">
        <v>1005</v>
      </c>
      <c r="C488" s="1">
        <v>63</v>
      </c>
      <c r="D488" s="1" t="s">
        <v>16</v>
      </c>
      <c r="E488" s="1" t="s">
        <v>48</v>
      </c>
      <c r="F488" s="1" t="s">
        <v>25</v>
      </c>
      <c r="G488" s="9">
        <v>785905.59</v>
      </c>
      <c r="H488" s="1">
        <v>10274.67</v>
      </c>
      <c r="I488" s="1">
        <v>345</v>
      </c>
      <c r="J488" s="1">
        <v>356</v>
      </c>
      <c r="K488" s="1">
        <v>246704</v>
      </c>
      <c r="L488" s="1" t="s">
        <v>19</v>
      </c>
      <c r="M488" s="1" t="s">
        <v>20</v>
      </c>
      <c r="N488" s="1">
        <v>4.4000000000000004</v>
      </c>
    </row>
    <row r="489" spans="1:14" x14ac:dyDescent="0.3">
      <c r="A489" s="1" t="s">
        <v>1006</v>
      </c>
      <c r="B489" s="1" t="s">
        <v>1007</v>
      </c>
      <c r="C489" s="1">
        <v>51</v>
      </c>
      <c r="D489" s="1" t="s">
        <v>16</v>
      </c>
      <c r="E489" s="1" t="s">
        <v>48</v>
      </c>
      <c r="F489" s="1" t="s">
        <v>39</v>
      </c>
      <c r="G489" s="9">
        <v>990181.51</v>
      </c>
      <c r="H489" s="1">
        <v>781202</v>
      </c>
      <c r="I489" s="1">
        <v>891</v>
      </c>
      <c r="J489" s="1">
        <v>393</v>
      </c>
      <c r="K489" s="1">
        <v>220849</v>
      </c>
      <c r="L489" s="1" t="s">
        <v>40</v>
      </c>
      <c r="M489" s="1" t="s">
        <v>33</v>
      </c>
      <c r="N489" s="1">
        <v>2.2000000000000002</v>
      </c>
    </row>
    <row r="490" spans="1:14" x14ac:dyDescent="0.3">
      <c r="A490" s="1" t="s">
        <v>1008</v>
      </c>
      <c r="B490" s="1" t="s">
        <v>1009</v>
      </c>
      <c r="C490" s="1">
        <v>35</v>
      </c>
      <c r="D490" s="1" t="s">
        <v>23</v>
      </c>
      <c r="E490" s="1" t="s">
        <v>29</v>
      </c>
      <c r="F490" s="1" t="s">
        <v>18</v>
      </c>
      <c r="G490" s="9">
        <v>482128.94</v>
      </c>
      <c r="H490" s="1">
        <v>1102789.06</v>
      </c>
      <c r="I490" s="1">
        <v>420</v>
      </c>
      <c r="J490" s="1">
        <v>144</v>
      </c>
      <c r="K490" s="1">
        <v>159532</v>
      </c>
      <c r="L490" s="1" t="s">
        <v>19</v>
      </c>
      <c r="M490" s="1" t="s">
        <v>20</v>
      </c>
      <c r="N490" s="1">
        <v>1.6</v>
      </c>
    </row>
    <row r="491" spans="1:14" x14ac:dyDescent="0.3">
      <c r="A491" s="1" t="s">
        <v>1010</v>
      </c>
      <c r="B491" s="1" t="s">
        <v>1011</v>
      </c>
      <c r="C491" s="1">
        <v>52</v>
      </c>
      <c r="D491" s="1" t="s">
        <v>16</v>
      </c>
      <c r="E491" s="1" t="s">
        <v>55</v>
      </c>
      <c r="F491" s="1" t="s">
        <v>81</v>
      </c>
      <c r="G491" s="9">
        <v>826301.66</v>
      </c>
      <c r="H491" s="1">
        <v>677630.25</v>
      </c>
      <c r="I491" s="1">
        <v>590</v>
      </c>
      <c r="J491" s="1">
        <v>298</v>
      </c>
      <c r="K491" s="1">
        <v>111833</v>
      </c>
      <c r="L491" s="1" t="s">
        <v>30</v>
      </c>
      <c r="M491" s="1" t="s">
        <v>20</v>
      </c>
      <c r="N491" s="1">
        <v>2</v>
      </c>
    </row>
    <row r="492" spans="1:14" x14ac:dyDescent="0.3">
      <c r="A492" s="1" t="s">
        <v>1012</v>
      </c>
      <c r="B492" s="1" t="s">
        <v>1013</v>
      </c>
      <c r="C492" s="1">
        <v>26</v>
      </c>
      <c r="D492" s="1" t="s">
        <v>23</v>
      </c>
      <c r="E492" s="1" t="s">
        <v>17</v>
      </c>
      <c r="F492" s="1" t="s">
        <v>39</v>
      </c>
      <c r="G492" s="9">
        <v>708749.69</v>
      </c>
      <c r="H492" s="1">
        <v>1688739.8400000001</v>
      </c>
      <c r="I492" s="1">
        <v>408</v>
      </c>
      <c r="J492" s="1">
        <v>201</v>
      </c>
      <c r="K492" s="1">
        <v>27600</v>
      </c>
      <c r="L492" s="1" t="s">
        <v>30</v>
      </c>
      <c r="M492" s="1" t="s">
        <v>33</v>
      </c>
      <c r="N492" s="1">
        <v>1.2</v>
      </c>
    </row>
    <row r="493" spans="1:14" x14ac:dyDescent="0.3">
      <c r="A493" s="1" t="s">
        <v>1014</v>
      </c>
      <c r="B493" s="1" t="s">
        <v>1015</v>
      </c>
      <c r="C493" s="1">
        <v>37</v>
      </c>
      <c r="D493" s="1" t="s">
        <v>23</v>
      </c>
      <c r="E493" s="1" t="s">
        <v>38</v>
      </c>
      <c r="F493" s="1" t="s">
        <v>18</v>
      </c>
      <c r="G493" s="9">
        <v>1227075.76</v>
      </c>
      <c r="H493" s="1">
        <v>1782246.71</v>
      </c>
      <c r="I493" s="1">
        <v>846</v>
      </c>
      <c r="J493" s="1">
        <v>45</v>
      </c>
      <c r="K493" s="1">
        <v>107118</v>
      </c>
      <c r="L493" s="1" t="s">
        <v>30</v>
      </c>
      <c r="M493" s="1" t="s">
        <v>20</v>
      </c>
      <c r="N493" s="1">
        <v>4.9000000000000004</v>
      </c>
    </row>
    <row r="494" spans="1:14" x14ac:dyDescent="0.3">
      <c r="A494" s="1" t="s">
        <v>1016</v>
      </c>
      <c r="B494" s="1" t="s">
        <v>1017</v>
      </c>
      <c r="C494" s="1">
        <v>47</v>
      </c>
      <c r="D494" s="1" t="s">
        <v>16</v>
      </c>
      <c r="E494" s="1" t="s">
        <v>38</v>
      </c>
      <c r="F494" s="1" t="s">
        <v>81</v>
      </c>
      <c r="G494" s="9">
        <v>1028294.57</v>
      </c>
      <c r="H494" s="1">
        <v>1775539.76</v>
      </c>
      <c r="I494" s="1">
        <v>776</v>
      </c>
      <c r="J494" s="1">
        <v>245</v>
      </c>
      <c r="K494" s="1">
        <v>101367</v>
      </c>
      <c r="L494" s="1" t="s">
        <v>26</v>
      </c>
      <c r="M494" s="1" t="s">
        <v>33</v>
      </c>
      <c r="N494" s="1">
        <v>1.9</v>
      </c>
    </row>
    <row r="495" spans="1:14" x14ac:dyDescent="0.3">
      <c r="A495" s="1" t="s">
        <v>1018</v>
      </c>
      <c r="B495" s="1" t="s">
        <v>1019</v>
      </c>
      <c r="C495" s="1">
        <v>29</v>
      </c>
      <c r="D495" s="1" t="s">
        <v>16</v>
      </c>
      <c r="E495" s="1" t="s">
        <v>45</v>
      </c>
      <c r="F495" s="1" t="s">
        <v>18</v>
      </c>
      <c r="G495" s="9">
        <v>1376310.31</v>
      </c>
      <c r="H495" s="1">
        <v>825819.89</v>
      </c>
      <c r="I495" s="1">
        <v>632</v>
      </c>
      <c r="J495" s="1">
        <v>237</v>
      </c>
      <c r="K495" s="1">
        <v>203399</v>
      </c>
      <c r="L495" s="1" t="s">
        <v>26</v>
      </c>
      <c r="M495" s="1" t="s">
        <v>33</v>
      </c>
      <c r="N495" s="1">
        <v>3</v>
      </c>
    </row>
    <row r="496" spans="1:14" x14ac:dyDescent="0.3">
      <c r="A496" s="1" t="s">
        <v>1020</v>
      </c>
      <c r="B496" s="1" t="s">
        <v>1021</v>
      </c>
      <c r="C496" s="1">
        <v>47</v>
      </c>
      <c r="D496" s="1" t="s">
        <v>23</v>
      </c>
      <c r="E496" s="1" t="s">
        <v>29</v>
      </c>
      <c r="F496" s="1" t="s">
        <v>81</v>
      </c>
      <c r="G496" s="9">
        <v>260348.31</v>
      </c>
      <c r="H496" s="1">
        <v>1919853.79</v>
      </c>
      <c r="I496" s="1">
        <v>888</v>
      </c>
      <c r="J496" s="1">
        <v>70</v>
      </c>
      <c r="K496" s="1">
        <v>241712</v>
      </c>
      <c r="L496" s="1" t="s">
        <v>19</v>
      </c>
      <c r="M496" s="1" t="s">
        <v>33</v>
      </c>
      <c r="N496" s="1">
        <v>3</v>
      </c>
    </row>
    <row r="497" spans="1:14" x14ac:dyDescent="0.3">
      <c r="A497" s="1" t="s">
        <v>1022</v>
      </c>
      <c r="B497" s="1" t="s">
        <v>1023</v>
      </c>
      <c r="C497" s="1">
        <v>52</v>
      </c>
      <c r="D497" s="1" t="s">
        <v>23</v>
      </c>
      <c r="E497" s="1" t="s">
        <v>17</v>
      </c>
      <c r="F497" s="1" t="s">
        <v>18</v>
      </c>
      <c r="G497" s="9">
        <v>604220.63</v>
      </c>
      <c r="H497" s="1">
        <v>1033604.76</v>
      </c>
      <c r="I497" s="1">
        <v>549</v>
      </c>
      <c r="J497" s="1">
        <v>285</v>
      </c>
      <c r="K497" s="1">
        <v>140841</v>
      </c>
      <c r="L497" s="1" t="s">
        <v>26</v>
      </c>
      <c r="M497" s="1" t="s">
        <v>20</v>
      </c>
      <c r="N497" s="1">
        <v>1.6</v>
      </c>
    </row>
    <row r="498" spans="1:14" x14ac:dyDescent="0.3">
      <c r="A498" s="1" t="s">
        <v>1024</v>
      </c>
      <c r="B498" s="1" t="s">
        <v>1025</v>
      </c>
      <c r="C498" s="1">
        <v>70</v>
      </c>
      <c r="D498" s="1" t="s">
        <v>16</v>
      </c>
      <c r="E498" s="1" t="s">
        <v>38</v>
      </c>
      <c r="F498" s="1" t="s">
        <v>18</v>
      </c>
      <c r="G498" s="9">
        <v>888500.45</v>
      </c>
      <c r="H498" s="1">
        <v>1960784.94</v>
      </c>
      <c r="I498" s="1">
        <v>745</v>
      </c>
      <c r="J498" s="1">
        <v>295</v>
      </c>
      <c r="K498" s="1">
        <v>201943</v>
      </c>
      <c r="L498" s="1" t="s">
        <v>30</v>
      </c>
      <c r="M498" s="1" t="s">
        <v>20</v>
      </c>
      <c r="N498" s="1">
        <v>4.0999999999999996</v>
      </c>
    </row>
    <row r="499" spans="1:14" x14ac:dyDescent="0.3">
      <c r="A499" s="1" t="s">
        <v>1026</v>
      </c>
      <c r="B499" s="1" t="s">
        <v>1027</v>
      </c>
      <c r="C499" s="1">
        <v>55</v>
      </c>
      <c r="D499" s="1" t="s">
        <v>23</v>
      </c>
      <c r="E499" s="1" t="s">
        <v>29</v>
      </c>
      <c r="F499" s="1" t="s">
        <v>18</v>
      </c>
      <c r="G499" s="9">
        <v>697048.11</v>
      </c>
      <c r="H499" s="1">
        <v>1387719.25</v>
      </c>
      <c r="I499" s="1">
        <v>755</v>
      </c>
      <c r="J499" s="1">
        <v>95</v>
      </c>
      <c r="K499" s="1">
        <v>176257</v>
      </c>
      <c r="L499" s="1" t="s">
        <v>30</v>
      </c>
      <c r="M499" s="1" t="s">
        <v>33</v>
      </c>
      <c r="N499" s="1">
        <v>2.2000000000000002</v>
      </c>
    </row>
    <row r="500" spans="1:14" x14ac:dyDescent="0.3">
      <c r="A500" s="1" t="s">
        <v>1028</v>
      </c>
      <c r="B500" s="1" t="s">
        <v>1029</v>
      </c>
      <c r="C500" s="1">
        <v>49</v>
      </c>
      <c r="D500" s="1" t="s">
        <v>16</v>
      </c>
      <c r="E500" s="1" t="s">
        <v>38</v>
      </c>
      <c r="F500" s="1" t="s">
        <v>39</v>
      </c>
      <c r="G500" s="9">
        <v>991946.31</v>
      </c>
      <c r="H500" s="1">
        <v>226332.51</v>
      </c>
      <c r="I500" s="1">
        <v>442</v>
      </c>
      <c r="J500" s="1">
        <v>459</v>
      </c>
      <c r="K500" s="1">
        <v>189080</v>
      </c>
      <c r="L500" s="1" t="s">
        <v>30</v>
      </c>
      <c r="M500" s="1" t="s">
        <v>33</v>
      </c>
      <c r="N500" s="1">
        <v>3.3</v>
      </c>
    </row>
    <row r="501" spans="1:14" x14ac:dyDescent="0.3">
      <c r="A501" s="1" t="s">
        <v>1030</v>
      </c>
      <c r="B501" s="1" t="s">
        <v>1031</v>
      </c>
      <c r="C501" s="1">
        <v>42</v>
      </c>
      <c r="D501" s="1" t="s">
        <v>23</v>
      </c>
      <c r="E501" s="1" t="s">
        <v>17</v>
      </c>
      <c r="F501" s="1" t="s">
        <v>81</v>
      </c>
      <c r="G501" s="9">
        <v>869007.47</v>
      </c>
      <c r="H501" s="1">
        <v>489166.55</v>
      </c>
      <c r="I501" s="1">
        <v>624</v>
      </c>
      <c r="J501" s="1">
        <v>158</v>
      </c>
      <c r="K501" s="1">
        <v>181368</v>
      </c>
      <c r="L501" s="1" t="s">
        <v>19</v>
      </c>
      <c r="M501" s="1" t="s">
        <v>20</v>
      </c>
      <c r="N501" s="1">
        <v>3.3</v>
      </c>
    </row>
    <row r="502" spans="1:14" x14ac:dyDescent="0.3">
      <c r="A502" s="1" t="s">
        <v>1032</v>
      </c>
      <c r="B502" s="1" t="s">
        <v>1033</v>
      </c>
      <c r="C502" s="1">
        <v>57</v>
      </c>
      <c r="D502" s="1" t="s">
        <v>16</v>
      </c>
      <c r="E502" s="1" t="s">
        <v>76</v>
      </c>
      <c r="F502" s="1" t="s">
        <v>81</v>
      </c>
      <c r="G502" s="9">
        <v>609275.14</v>
      </c>
      <c r="H502" s="1">
        <v>318889.24</v>
      </c>
      <c r="I502" s="1">
        <v>601</v>
      </c>
      <c r="J502" s="1">
        <v>36</v>
      </c>
      <c r="K502" s="1">
        <v>153804</v>
      </c>
      <c r="L502" s="1" t="s">
        <v>19</v>
      </c>
      <c r="M502" s="1" t="s">
        <v>33</v>
      </c>
      <c r="N502" s="1">
        <v>2.5</v>
      </c>
    </row>
    <row r="503" spans="1:14" x14ac:dyDescent="0.3">
      <c r="A503" s="1" t="s">
        <v>1034</v>
      </c>
      <c r="B503" s="1" t="s">
        <v>1035</v>
      </c>
      <c r="C503" s="1">
        <v>19</v>
      </c>
      <c r="D503" s="1" t="s">
        <v>23</v>
      </c>
      <c r="E503" s="1" t="s">
        <v>17</v>
      </c>
      <c r="F503" s="1" t="s">
        <v>39</v>
      </c>
      <c r="G503" s="9">
        <v>650414.67000000004</v>
      </c>
      <c r="H503" s="1">
        <v>1475409.69</v>
      </c>
      <c r="I503" s="1">
        <v>625</v>
      </c>
      <c r="J503" s="1">
        <v>369</v>
      </c>
      <c r="K503" s="1">
        <v>81667</v>
      </c>
      <c r="L503" s="1" t="s">
        <v>40</v>
      </c>
      <c r="M503" s="1" t="s">
        <v>33</v>
      </c>
      <c r="N503" s="1">
        <v>2.5</v>
      </c>
    </row>
    <row r="504" spans="1:14" x14ac:dyDescent="0.3">
      <c r="A504" s="1" t="s">
        <v>1036</v>
      </c>
      <c r="B504" s="1" t="s">
        <v>1037</v>
      </c>
      <c r="C504" s="1">
        <v>26</v>
      </c>
      <c r="D504" s="1" t="s">
        <v>23</v>
      </c>
      <c r="E504" s="1" t="s">
        <v>38</v>
      </c>
      <c r="F504" s="1" t="s">
        <v>39</v>
      </c>
      <c r="G504" s="9">
        <v>835355.26</v>
      </c>
      <c r="H504" s="1">
        <v>2108319.1800000002</v>
      </c>
      <c r="I504" s="1">
        <v>668</v>
      </c>
      <c r="J504" s="1">
        <v>435</v>
      </c>
      <c r="K504" s="1">
        <v>69342</v>
      </c>
      <c r="L504" s="1" t="s">
        <v>19</v>
      </c>
      <c r="M504" s="1" t="s">
        <v>20</v>
      </c>
      <c r="N504" s="1">
        <v>2.7</v>
      </c>
    </row>
    <row r="505" spans="1:14" x14ac:dyDescent="0.3">
      <c r="A505" s="1" t="s">
        <v>1038</v>
      </c>
      <c r="B505" s="1" t="s">
        <v>1039</v>
      </c>
      <c r="C505" s="1">
        <v>59</v>
      </c>
      <c r="D505" s="1" t="s">
        <v>23</v>
      </c>
      <c r="E505" s="1" t="s">
        <v>45</v>
      </c>
      <c r="F505" s="1" t="s">
        <v>25</v>
      </c>
      <c r="G505" s="9">
        <v>220273.85</v>
      </c>
      <c r="H505" s="1">
        <v>2212221.71</v>
      </c>
      <c r="I505" s="1">
        <v>747</v>
      </c>
      <c r="J505" s="1">
        <v>74</v>
      </c>
      <c r="K505" s="1">
        <v>24117</v>
      </c>
      <c r="L505" s="1" t="s">
        <v>40</v>
      </c>
      <c r="M505" s="1" t="s">
        <v>33</v>
      </c>
      <c r="N505" s="1">
        <v>1.3</v>
      </c>
    </row>
    <row r="506" spans="1:14" x14ac:dyDescent="0.3">
      <c r="A506" s="1" t="s">
        <v>1040</v>
      </c>
      <c r="B506" s="1" t="s">
        <v>1041</v>
      </c>
      <c r="C506" s="1">
        <v>50</v>
      </c>
      <c r="D506" s="1" t="s">
        <v>16</v>
      </c>
      <c r="E506" s="1" t="s">
        <v>45</v>
      </c>
      <c r="F506" s="1" t="s">
        <v>39</v>
      </c>
      <c r="G506" s="9">
        <v>830314.8</v>
      </c>
      <c r="H506" s="1">
        <v>1125114.42</v>
      </c>
      <c r="I506" s="1">
        <v>663</v>
      </c>
      <c r="J506" s="1">
        <v>120</v>
      </c>
      <c r="K506" s="1">
        <v>131181</v>
      </c>
      <c r="L506" s="1" t="s">
        <v>26</v>
      </c>
      <c r="M506" s="1" t="s">
        <v>33</v>
      </c>
      <c r="N506" s="1">
        <v>1.7</v>
      </c>
    </row>
    <row r="507" spans="1:14" x14ac:dyDescent="0.3">
      <c r="A507" s="1" t="s">
        <v>1042</v>
      </c>
      <c r="B507" s="1" t="s">
        <v>1043</v>
      </c>
      <c r="C507" s="1">
        <v>52</v>
      </c>
      <c r="D507" s="1" t="s">
        <v>16</v>
      </c>
      <c r="E507" s="1" t="s">
        <v>45</v>
      </c>
      <c r="F507" s="1" t="s">
        <v>18</v>
      </c>
      <c r="G507" s="9">
        <v>553620.18999999994</v>
      </c>
      <c r="H507" s="1">
        <v>2445583.62</v>
      </c>
      <c r="I507" s="1">
        <v>881</v>
      </c>
      <c r="J507" s="1">
        <v>252</v>
      </c>
      <c r="K507" s="1">
        <v>171087</v>
      </c>
      <c r="L507" s="1" t="s">
        <v>40</v>
      </c>
      <c r="M507" s="1" t="s">
        <v>33</v>
      </c>
      <c r="N507" s="1">
        <v>3.8</v>
      </c>
    </row>
    <row r="508" spans="1:14" x14ac:dyDescent="0.3">
      <c r="A508" s="1" t="s">
        <v>1044</v>
      </c>
      <c r="B508" s="1" t="s">
        <v>1045</v>
      </c>
      <c r="C508" s="1">
        <v>47</v>
      </c>
      <c r="D508" s="1" t="s">
        <v>16</v>
      </c>
      <c r="E508" s="1" t="s">
        <v>55</v>
      </c>
      <c r="F508" s="1" t="s">
        <v>18</v>
      </c>
      <c r="G508" s="9">
        <v>121960.73</v>
      </c>
      <c r="H508" s="1">
        <v>2224788.7000000002</v>
      </c>
      <c r="I508" s="1">
        <v>390</v>
      </c>
      <c r="J508" s="1">
        <v>130</v>
      </c>
      <c r="K508" s="1">
        <v>155515</v>
      </c>
      <c r="L508" s="1" t="s">
        <v>26</v>
      </c>
      <c r="M508" s="1" t="s">
        <v>20</v>
      </c>
      <c r="N508" s="1">
        <v>2.9</v>
      </c>
    </row>
    <row r="509" spans="1:14" x14ac:dyDescent="0.3">
      <c r="A509" s="1" t="s">
        <v>1046</v>
      </c>
      <c r="B509" s="1" t="s">
        <v>1047</v>
      </c>
      <c r="C509" s="1">
        <v>48</v>
      </c>
      <c r="D509" s="1" t="s">
        <v>23</v>
      </c>
      <c r="E509" s="1" t="s">
        <v>55</v>
      </c>
      <c r="F509" s="1" t="s">
        <v>39</v>
      </c>
      <c r="G509" s="9">
        <v>771431.35</v>
      </c>
      <c r="H509" s="1">
        <v>1173080.98</v>
      </c>
      <c r="I509" s="1">
        <v>639</v>
      </c>
      <c r="J509" s="1">
        <v>220</v>
      </c>
      <c r="K509" s="1">
        <v>139022</v>
      </c>
      <c r="L509" s="1" t="s">
        <v>19</v>
      </c>
      <c r="M509" s="1" t="s">
        <v>33</v>
      </c>
      <c r="N509" s="1">
        <v>2.4</v>
      </c>
    </row>
    <row r="510" spans="1:14" x14ac:dyDescent="0.3">
      <c r="A510" s="1" t="s">
        <v>1048</v>
      </c>
      <c r="B510" s="1" t="s">
        <v>1049</v>
      </c>
      <c r="C510" s="1">
        <v>64</v>
      </c>
      <c r="D510" s="1" t="s">
        <v>16</v>
      </c>
      <c r="E510" s="1" t="s">
        <v>55</v>
      </c>
      <c r="F510" s="1" t="s">
        <v>18</v>
      </c>
      <c r="G510" s="9">
        <v>847740.88</v>
      </c>
      <c r="H510" s="1">
        <v>153544.41</v>
      </c>
      <c r="I510" s="1">
        <v>784</v>
      </c>
      <c r="J510" s="1">
        <v>301</v>
      </c>
      <c r="K510" s="1">
        <v>225788</v>
      </c>
      <c r="L510" s="1" t="s">
        <v>26</v>
      </c>
      <c r="M510" s="1" t="s">
        <v>33</v>
      </c>
      <c r="N510" s="1">
        <v>1.7</v>
      </c>
    </row>
    <row r="511" spans="1:14" x14ac:dyDescent="0.3">
      <c r="A511" s="1" t="s">
        <v>1050</v>
      </c>
      <c r="B511" s="1" t="s">
        <v>1051</v>
      </c>
      <c r="C511" s="1">
        <v>23</v>
      </c>
      <c r="D511" s="1" t="s">
        <v>23</v>
      </c>
      <c r="E511" s="1" t="s">
        <v>55</v>
      </c>
      <c r="F511" s="1" t="s">
        <v>81</v>
      </c>
      <c r="G511" s="9">
        <v>760866.18</v>
      </c>
      <c r="H511" s="1">
        <v>2128613.14</v>
      </c>
      <c r="I511" s="1">
        <v>584</v>
      </c>
      <c r="J511" s="1">
        <v>134</v>
      </c>
      <c r="K511" s="1">
        <v>53245</v>
      </c>
      <c r="L511" s="1" t="s">
        <v>19</v>
      </c>
      <c r="M511" s="1" t="s">
        <v>20</v>
      </c>
      <c r="N511" s="1">
        <v>1.5</v>
      </c>
    </row>
    <row r="512" spans="1:14" x14ac:dyDescent="0.3">
      <c r="A512" s="1" t="s">
        <v>1052</v>
      </c>
      <c r="B512" s="1" t="s">
        <v>1053</v>
      </c>
      <c r="C512" s="1">
        <v>56</v>
      </c>
      <c r="D512" s="1" t="s">
        <v>23</v>
      </c>
      <c r="E512" s="1" t="s">
        <v>24</v>
      </c>
      <c r="F512" s="1" t="s">
        <v>25</v>
      </c>
      <c r="G512" s="9">
        <v>1365646.58</v>
      </c>
      <c r="H512" s="1">
        <v>1847418.08</v>
      </c>
      <c r="I512" s="1">
        <v>757</v>
      </c>
      <c r="J512" s="1">
        <v>194</v>
      </c>
      <c r="K512" s="1">
        <v>65773</v>
      </c>
      <c r="L512" s="1" t="s">
        <v>40</v>
      </c>
      <c r="M512" s="1" t="s">
        <v>20</v>
      </c>
      <c r="N512" s="1">
        <v>4.2</v>
      </c>
    </row>
    <row r="513" spans="1:14" x14ac:dyDescent="0.3">
      <c r="A513" s="1" t="s">
        <v>1054</v>
      </c>
      <c r="B513" s="1" t="s">
        <v>1055</v>
      </c>
      <c r="C513" s="1">
        <v>39</v>
      </c>
      <c r="D513" s="1" t="s">
        <v>23</v>
      </c>
      <c r="E513" s="1" t="s">
        <v>17</v>
      </c>
      <c r="F513" s="1" t="s">
        <v>39</v>
      </c>
      <c r="G513" s="9">
        <v>1451181.72</v>
      </c>
      <c r="H513" s="1">
        <v>1488860.23</v>
      </c>
      <c r="I513" s="1">
        <v>457</v>
      </c>
      <c r="J513" s="1">
        <v>433</v>
      </c>
      <c r="K513" s="1">
        <v>42125</v>
      </c>
      <c r="L513" s="1" t="s">
        <v>30</v>
      </c>
      <c r="M513" s="1" t="s">
        <v>20</v>
      </c>
      <c r="N513" s="1">
        <v>3</v>
      </c>
    </row>
    <row r="514" spans="1:14" x14ac:dyDescent="0.3">
      <c r="A514" s="1" t="s">
        <v>1056</v>
      </c>
      <c r="B514" s="1" t="s">
        <v>1057</v>
      </c>
      <c r="C514" s="1">
        <v>31</v>
      </c>
      <c r="D514" s="1" t="s">
        <v>16</v>
      </c>
      <c r="E514" s="1" t="s">
        <v>38</v>
      </c>
      <c r="F514" s="1" t="s">
        <v>25</v>
      </c>
      <c r="G514" s="9">
        <v>1102869.8600000001</v>
      </c>
      <c r="H514" s="1">
        <v>862689.3</v>
      </c>
      <c r="I514" s="1">
        <v>570</v>
      </c>
      <c r="J514" s="1">
        <v>391</v>
      </c>
      <c r="K514" s="1">
        <v>171455</v>
      </c>
      <c r="L514" s="1" t="s">
        <v>30</v>
      </c>
      <c r="M514" s="1" t="s">
        <v>33</v>
      </c>
      <c r="N514" s="1">
        <v>4.3</v>
      </c>
    </row>
    <row r="515" spans="1:14" x14ac:dyDescent="0.3">
      <c r="A515" s="1" t="s">
        <v>1058</v>
      </c>
      <c r="B515" s="1" t="s">
        <v>1059</v>
      </c>
      <c r="C515" s="1">
        <v>37</v>
      </c>
      <c r="D515" s="1" t="s">
        <v>23</v>
      </c>
      <c r="E515" s="1" t="s">
        <v>45</v>
      </c>
      <c r="F515" s="1" t="s">
        <v>81</v>
      </c>
      <c r="G515" s="9">
        <v>1120495.07</v>
      </c>
      <c r="H515" s="1">
        <v>1881069.63</v>
      </c>
      <c r="I515" s="1">
        <v>845</v>
      </c>
      <c r="J515" s="1">
        <v>124</v>
      </c>
      <c r="K515" s="1">
        <v>144850</v>
      </c>
      <c r="L515" s="1" t="s">
        <v>40</v>
      </c>
      <c r="M515" s="1" t="s">
        <v>33</v>
      </c>
      <c r="N515" s="1">
        <v>2.5</v>
      </c>
    </row>
    <row r="516" spans="1:14" x14ac:dyDescent="0.3">
      <c r="A516" s="1" t="s">
        <v>1060</v>
      </c>
      <c r="B516" s="1" t="s">
        <v>1061</v>
      </c>
      <c r="C516" s="1">
        <v>18</v>
      </c>
      <c r="D516" s="1" t="s">
        <v>16</v>
      </c>
      <c r="E516" s="1" t="s">
        <v>29</v>
      </c>
      <c r="F516" s="1" t="s">
        <v>81</v>
      </c>
      <c r="G516" s="9">
        <v>1391197.68</v>
      </c>
      <c r="H516" s="1">
        <v>1122051.56</v>
      </c>
      <c r="I516" s="1">
        <v>623</v>
      </c>
      <c r="J516" s="1">
        <v>497</v>
      </c>
      <c r="K516" s="1">
        <v>95705</v>
      </c>
      <c r="L516" s="1" t="s">
        <v>30</v>
      </c>
      <c r="M516" s="1" t="s">
        <v>33</v>
      </c>
      <c r="N516" s="1">
        <v>3.1</v>
      </c>
    </row>
    <row r="517" spans="1:14" x14ac:dyDescent="0.3">
      <c r="A517" s="1" t="s">
        <v>1062</v>
      </c>
      <c r="B517" s="1" t="s">
        <v>1063</v>
      </c>
      <c r="C517" s="1">
        <v>39</v>
      </c>
      <c r="D517" s="1" t="s">
        <v>16</v>
      </c>
      <c r="E517" s="1" t="s">
        <v>24</v>
      </c>
      <c r="F517" s="1" t="s">
        <v>81</v>
      </c>
      <c r="G517" s="9">
        <v>404296.28</v>
      </c>
      <c r="H517" s="1">
        <v>245691.97</v>
      </c>
      <c r="I517" s="1">
        <v>898</v>
      </c>
      <c r="J517" s="1">
        <v>205</v>
      </c>
      <c r="K517" s="1">
        <v>90864</v>
      </c>
      <c r="L517" s="1" t="s">
        <v>40</v>
      </c>
      <c r="M517" s="1" t="s">
        <v>33</v>
      </c>
      <c r="N517" s="1">
        <v>2.8</v>
      </c>
    </row>
    <row r="518" spans="1:14" x14ac:dyDescent="0.3">
      <c r="A518" s="1" t="s">
        <v>1064</v>
      </c>
      <c r="B518" s="1" t="s">
        <v>1065</v>
      </c>
      <c r="C518" s="1">
        <v>53</v>
      </c>
      <c r="D518" s="1" t="s">
        <v>16</v>
      </c>
      <c r="E518" s="1" t="s">
        <v>45</v>
      </c>
      <c r="F518" s="1" t="s">
        <v>81</v>
      </c>
      <c r="G518" s="9">
        <v>1010838.78</v>
      </c>
      <c r="H518" s="1">
        <v>2079223.75</v>
      </c>
      <c r="I518" s="1">
        <v>312</v>
      </c>
      <c r="J518" s="1">
        <v>215</v>
      </c>
      <c r="K518" s="1">
        <v>22772</v>
      </c>
      <c r="L518" s="1" t="s">
        <v>40</v>
      </c>
      <c r="M518" s="1" t="s">
        <v>33</v>
      </c>
      <c r="N518" s="1">
        <v>1.4</v>
      </c>
    </row>
    <row r="519" spans="1:14" x14ac:dyDescent="0.3">
      <c r="A519" s="1" t="s">
        <v>1066</v>
      </c>
      <c r="B519" s="1" t="s">
        <v>1067</v>
      </c>
      <c r="C519" s="1">
        <v>34</v>
      </c>
      <c r="D519" s="1" t="s">
        <v>16</v>
      </c>
      <c r="E519" s="1" t="s">
        <v>29</v>
      </c>
      <c r="F519" s="1" t="s">
        <v>18</v>
      </c>
      <c r="G519" s="9">
        <v>55892.43</v>
      </c>
      <c r="H519" s="1">
        <v>1548493.06</v>
      </c>
      <c r="I519" s="1">
        <v>358</v>
      </c>
      <c r="J519" s="1">
        <v>485</v>
      </c>
      <c r="K519" s="1">
        <v>70614</v>
      </c>
      <c r="L519" s="1" t="s">
        <v>19</v>
      </c>
      <c r="M519" s="1" t="s">
        <v>20</v>
      </c>
      <c r="N519" s="1">
        <v>3.4</v>
      </c>
    </row>
    <row r="520" spans="1:14" x14ac:dyDescent="0.3">
      <c r="A520" s="1" t="s">
        <v>1068</v>
      </c>
      <c r="B520" s="1" t="s">
        <v>1069</v>
      </c>
      <c r="C520" s="1">
        <v>42</v>
      </c>
      <c r="D520" s="1" t="s">
        <v>16</v>
      </c>
      <c r="E520" s="1" t="s">
        <v>55</v>
      </c>
      <c r="F520" s="1" t="s">
        <v>81</v>
      </c>
      <c r="G520" s="9">
        <v>1146967.3600000001</v>
      </c>
      <c r="H520" s="1">
        <v>1619764.6</v>
      </c>
      <c r="I520" s="1">
        <v>489</v>
      </c>
      <c r="J520" s="1">
        <v>463</v>
      </c>
      <c r="K520" s="1">
        <v>192069</v>
      </c>
      <c r="L520" s="1" t="s">
        <v>30</v>
      </c>
      <c r="M520" s="1" t="s">
        <v>20</v>
      </c>
      <c r="N520" s="1">
        <v>1.4</v>
      </c>
    </row>
    <row r="521" spans="1:14" x14ac:dyDescent="0.3">
      <c r="A521" s="1" t="s">
        <v>1070</v>
      </c>
      <c r="B521" s="1" t="s">
        <v>1071</v>
      </c>
      <c r="C521" s="1">
        <v>58</v>
      </c>
      <c r="D521" s="1" t="s">
        <v>23</v>
      </c>
      <c r="E521" s="1" t="s">
        <v>55</v>
      </c>
      <c r="F521" s="1" t="s">
        <v>39</v>
      </c>
      <c r="G521" s="9">
        <v>1384429.61</v>
      </c>
      <c r="H521" s="1">
        <v>690958.91</v>
      </c>
      <c r="I521" s="1">
        <v>737</v>
      </c>
      <c r="J521" s="1">
        <v>359</v>
      </c>
      <c r="K521" s="1">
        <v>138867</v>
      </c>
      <c r="L521" s="1" t="s">
        <v>19</v>
      </c>
      <c r="M521" s="1" t="s">
        <v>33</v>
      </c>
      <c r="N521" s="1">
        <v>4.5999999999999996</v>
      </c>
    </row>
    <row r="522" spans="1:14" x14ac:dyDescent="0.3">
      <c r="A522" s="1" t="s">
        <v>1072</v>
      </c>
      <c r="B522" s="1" t="s">
        <v>1073</v>
      </c>
      <c r="C522" s="1">
        <v>67</v>
      </c>
      <c r="D522" s="1" t="s">
        <v>23</v>
      </c>
      <c r="E522" s="1" t="s">
        <v>38</v>
      </c>
      <c r="F522" s="1" t="s">
        <v>25</v>
      </c>
      <c r="G522" s="9">
        <v>577284.51</v>
      </c>
      <c r="H522" s="1">
        <v>831636.84</v>
      </c>
      <c r="I522" s="1">
        <v>361</v>
      </c>
      <c r="J522" s="1">
        <v>137</v>
      </c>
      <c r="K522" s="1">
        <v>36354</v>
      </c>
      <c r="L522" s="1" t="s">
        <v>19</v>
      </c>
      <c r="M522" s="1" t="s">
        <v>33</v>
      </c>
      <c r="N522" s="1">
        <v>4.8</v>
      </c>
    </row>
    <row r="523" spans="1:14" x14ac:dyDescent="0.3">
      <c r="A523" s="1" t="s">
        <v>1074</v>
      </c>
      <c r="B523" s="1" t="s">
        <v>1075</v>
      </c>
      <c r="C523" s="1">
        <v>30</v>
      </c>
      <c r="D523" s="1" t="s">
        <v>23</v>
      </c>
      <c r="E523" s="1" t="s">
        <v>24</v>
      </c>
      <c r="F523" s="1" t="s">
        <v>18</v>
      </c>
      <c r="G523" s="9">
        <v>591988.5</v>
      </c>
      <c r="H523" s="1">
        <v>1613707.94</v>
      </c>
      <c r="I523" s="1">
        <v>411</v>
      </c>
      <c r="J523" s="1">
        <v>78</v>
      </c>
      <c r="K523" s="1">
        <v>179986</v>
      </c>
      <c r="L523" s="1" t="s">
        <v>30</v>
      </c>
      <c r="M523" s="1" t="s">
        <v>33</v>
      </c>
      <c r="N523" s="1">
        <v>3.2</v>
      </c>
    </row>
    <row r="524" spans="1:14" x14ac:dyDescent="0.3">
      <c r="A524" s="1" t="s">
        <v>1076</v>
      </c>
      <c r="B524" s="1" t="s">
        <v>1077</v>
      </c>
      <c r="C524" s="1">
        <v>24</v>
      </c>
      <c r="D524" s="1" t="s">
        <v>23</v>
      </c>
      <c r="E524" s="1" t="s">
        <v>38</v>
      </c>
      <c r="F524" s="1" t="s">
        <v>18</v>
      </c>
      <c r="G524" s="9">
        <v>114014.66</v>
      </c>
      <c r="H524" s="1">
        <v>1428361.4</v>
      </c>
      <c r="I524" s="1">
        <v>556</v>
      </c>
      <c r="J524" s="1">
        <v>402</v>
      </c>
      <c r="K524" s="1">
        <v>29138</v>
      </c>
      <c r="L524" s="1" t="s">
        <v>19</v>
      </c>
      <c r="M524" s="1" t="s">
        <v>33</v>
      </c>
      <c r="N524" s="1">
        <v>2.8</v>
      </c>
    </row>
    <row r="525" spans="1:14" x14ac:dyDescent="0.3">
      <c r="A525" s="1" t="s">
        <v>1078</v>
      </c>
      <c r="B525" s="1" t="s">
        <v>1079</v>
      </c>
      <c r="C525" s="1">
        <v>35</v>
      </c>
      <c r="D525" s="1" t="s">
        <v>23</v>
      </c>
      <c r="E525" s="1" t="s">
        <v>45</v>
      </c>
      <c r="F525" s="1" t="s">
        <v>25</v>
      </c>
      <c r="G525" s="9">
        <v>1051582.52</v>
      </c>
      <c r="H525" s="1">
        <v>2261543.86</v>
      </c>
      <c r="I525" s="1">
        <v>888</v>
      </c>
      <c r="J525" s="1">
        <v>6</v>
      </c>
      <c r="K525" s="1">
        <v>59742</v>
      </c>
      <c r="L525" s="1" t="s">
        <v>30</v>
      </c>
      <c r="M525" s="1" t="s">
        <v>20</v>
      </c>
      <c r="N525" s="1">
        <v>3.1</v>
      </c>
    </row>
    <row r="526" spans="1:14" x14ac:dyDescent="0.3">
      <c r="A526" s="1" t="s">
        <v>1080</v>
      </c>
      <c r="B526" s="1" t="s">
        <v>1081</v>
      </c>
      <c r="C526" s="1">
        <v>52</v>
      </c>
      <c r="D526" s="1" t="s">
        <v>23</v>
      </c>
      <c r="E526" s="1" t="s">
        <v>48</v>
      </c>
      <c r="F526" s="1" t="s">
        <v>81</v>
      </c>
      <c r="G526" s="9">
        <v>9944.5</v>
      </c>
      <c r="H526" s="1">
        <v>2385388.36</v>
      </c>
      <c r="I526" s="1">
        <v>793</v>
      </c>
      <c r="J526" s="1">
        <v>67</v>
      </c>
      <c r="K526" s="1">
        <v>79204</v>
      </c>
      <c r="L526" s="1" t="s">
        <v>30</v>
      </c>
      <c r="M526" s="1" t="s">
        <v>20</v>
      </c>
      <c r="N526" s="1">
        <v>3.3</v>
      </c>
    </row>
    <row r="527" spans="1:14" x14ac:dyDescent="0.3">
      <c r="A527" s="1" t="s">
        <v>1082</v>
      </c>
      <c r="B527" s="1" t="s">
        <v>1083</v>
      </c>
      <c r="C527" s="1">
        <v>58</v>
      </c>
      <c r="D527" s="1" t="s">
        <v>23</v>
      </c>
      <c r="E527" s="1" t="s">
        <v>24</v>
      </c>
      <c r="F527" s="1" t="s">
        <v>39</v>
      </c>
      <c r="G527" s="9">
        <v>140547.13</v>
      </c>
      <c r="H527" s="1">
        <v>1336565.74</v>
      </c>
      <c r="I527" s="1">
        <v>648</v>
      </c>
      <c r="J527" s="1">
        <v>46</v>
      </c>
      <c r="K527" s="1">
        <v>189626</v>
      </c>
      <c r="L527" s="1" t="s">
        <v>19</v>
      </c>
      <c r="M527" s="1" t="s">
        <v>33</v>
      </c>
      <c r="N527" s="1">
        <v>4.4000000000000004</v>
      </c>
    </row>
    <row r="528" spans="1:14" x14ac:dyDescent="0.3">
      <c r="A528" s="1" t="s">
        <v>1084</v>
      </c>
      <c r="B528" s="1" t="s">
        <v>1085</v>
      </c>
      <c r="C528" s="1">
        <v>60</v>
      </c>
      <c r="D528" s="1" t="s">
        <v>23</v>
      </c>
      <c r="E528" s="1" t="s">
        <v>29</v>
      </c>
      <c r="F528" s="1" t="s">
        <v>25</v>
      </c>
      <c r="G528" s="9">
        <v>451811.17</v>
      </c>
      <c r="H528" s="1">
        <v>975261.81</v>
      </c>
      <c r="I528" s="1">
        <v>409</v>
      </c>
      <c r="J528" s="1">
        <v>327</v>
      </c>
      <c r="K528" s="1">
        <v>70070</v>
      </c>
      <c r="L528" s="1" t="s">
        <v>40</v>
      </c>
      <c r="M528" s="1" t="s">
        <v>20</v>
      </c>
      <c r="N528" s="1">
        <v>3.8</v>
      </c>
    </row>
    <row r="529" spans="1:14" x14ac:dyDescent="0.3">
      <c r="A529" s="1" t="s">
        <v>1086</v>
      </c>
      <c r="B529" s="1" t="s">
        <v>1087</v>
      </c>
      <c r="C529" s="1">
        <v>20</v>
      </c>
      <c r="D529" s="1" t="s">
        <v>23</v>
      </c>
      <c r="E529" s="1" t="s">
        <v>45</v>
      </c>
      <c r="F529" s="1" t="s">
        <v>25</v>
      </c>
      <c r="G529" s="9">
        <v>42920.09</v>
      </c>
      <c r="H529" s="1">
        <v>2490958.9</v>
      </c>
      <c r="I529" s="1">
        <v>544</v>
      </c>
      <c r="J529" s="1">
        <v>255</v>
      </c>
      <c r="K529" s="1">
        <v>70618</v>
      </c>
      <c r="L529" s="1" t="s">
        <v>19</v>
      </c>
      <c r="M529" s="1" t="s">
        <v>20</v>
      </c>
      <c r="N529" s="1">
        <v>2.6</v>
      </c>
    </row>
    <row r="530" spans="1:14" x14ac:dyDescent="0.3">
      <c r="A530" s="1" t="s">
        <v>1088</v>
      </c>
      <c r="B530" s="1" t="s">
        <v>1089</v>
      </c>
      <c r="C530" s="1">
        <v>39</v>
      </c>
      <c r="D530" s="1" t="s">
        <v>23</v>
      </c>
      <c r="E530" s="1" t="s">
        <v>38</v>
      </c>
      <c r="F530" s="1" t="s">
        <v>39</v>
      </c>
      <c r="G530" s="9">
        <v>509889.31</v>
      </c>
      <c r="H530" s="1">
        <v>1802529.97</v>
      </c>
      <c r="I530" s="1">
        <v>715</v>
      </c>
      <c r="J530" s="1">
        <v>65</v>
      </c>
      <c r="K530" s="1">
        <v>34694</v>
      </c>
      <c r="L530" s="1" t="s">
        <v>19</v>
      </c>
      <c r="M530" s="1" t="s">
        <v>20</v>
      </c>
      <c r="N530" s="1">
        <v>1.8</v>
      </c>
    </row>
    <row r="531" spans="1:14" x14ac:dyDescent="0.3">
      <c r="A531" s="1" t="s">
        <v>1090</v>
      </c>
      <c r="B531" s="1" t="s">
        <v>1091</v>
      </c>
      <c r="C531" s="1">
        <v>65</v>
      </c>
      <c r="D531" s="1" t="s">
        <v>16</v>
      </c>
      <c r="E531" s="1" t="s">
        <v>76</v>
      </c>
      <c r="F531" s="1" t="s">
        <v>39</v>
      </c>
      <c r="G531" s="9">
        <v>735897.59999999998</v>
      </c>
      <c r="H531" s="1">
        <v>47657.52</v>
      </c>
      <c r="I531" s="1">
        <v>346</v>
      </c>
      <c r="J531" s="1">
        <v>129</v>
      </c>
      <c r="K531" s="1">
        <v>57117</v>
      </c>
      <c r="L531" s="1" t="s">
        <v>19</v>
      </c>
      <c r="M531" s="1" t="s">
        <v>33</v>
      </c>
      <c r="N531" s="1">
        <v>3.8</v>
      </c>
    </row>
    <row r="532" spans="1:14" x14ac:dyDescent="0.3">
      <c r="A532" s="1" t="s">
        <v>1092</v>
      </c>
      <c r="B532" s="1" t="s">
        <v>1093</v>
      </c>
      <c r="C532" s="1">
        <v>70</v>
      </c>
      <c r="D532" s="1" t="s">
        <v>16</v>
      </c>
      <c r="E532" s="1" t="s">
        <v>45</v>
      </c>
      <c r="F532" s="1" t="s">
        <v>39</v>
      </c>
      <c r="G532" s="9">
        <v>150451.9</v>
      </c>
      <c r="H532" s="1">
        <v>1528064.72</v>
      </c>
      <c r="I532" s="1">
        <v>365</v>
      </c>
      <c r="J532" s="1">
        <v>423</v>
      </c>
      <c r="K532" s="1">
        <v>228062</v>
      </c>
      <c r="L532" s="1" t="s">
        <v>19</v>
      </c>
      <c r="M532" s="1" t="s">
        <v>20</v>
      </c>
      <c r="N532" s="1">
        <v>4.3</v>
      </c>
    </row>
    <row r="533" spans="1:14" x14ac:dyDescent="0.3">
      <c r="A533" s="1" t="s">
        <v>1094</v>
      </c>
      <c r="B533" s="1" t="s">
        <v>1095</v>
      </c>
      <c r="C533" s="1">
        <v>45</v>
      </c>
      <c r="D533" s="1" t="s">
        <v>16</v>
      </c>
      <c r="E533" s="1" t="s">
        <v>48</v>
      </c>
      <c r="F533" s="1" t="s">
        <v>39</v>
      </c>
      <c r="G533" s="9">
        <v>1218223.94</v>
      </c>
      <c r="H533" s="1">
        <v>2455481.88</v>
      </c>
      <c r="I533" s="1">
        <v>711</v>
      </c>
      <c r="J533" s="1">
        <v>171</v>
      </c>
      <c r="K533" s="1">
        <v>108432</v>
      </c>
      <c r="L533" s="1" t="s">
        <v>19</v>
      </c>
      <c r="M533" s="1" t="s">
        <v>20</v>
      </c>
      <c r="N533" s="1">
        <v>1.5</v>
      </c>
    </row>
    <row r="534" spans="1:14" x14ac:dyDescent="0.3">
      <c r="A534" s="1" t="s">
        <v>1096</v>
      </c>
      <c r="B534" s="1" t="s">
        <v>1097</v>
      </c>
      <c r="C534" s="1">
        <v>39</v>
      </c>
      <c r="D534" s="1" t="s">
        <v>16</v>
      </c>
      <c r="E534" s="1" t="s">
        <v>45</v>
      </c>
      <c r="F534" s="1" t="s">
        <v>39</v>
      </c>
      <c r="G534" s="9">
        <v>185514.51</v>
      </c>
      <c r="H534" s="1">
        <v>353092.01</v>
      </c>
      <c r="I534" s="1">
        <v>725</v>
      </c>
      <c r="J534" s="1">
        <v>91</v>
      </c>
      <c r="K534" s="1">
        <v>36573</v>
      </c>
      <c r="L534" s="1" t="s">
        <v>19</v>
      </c>
      <c r="M534" s="1" t="s">
        <v>20</v>
      </c>
      <c r="N534" s="1">
        <v>3.8</v>
      </c>
    </row>
    <row r="535" spans="1:14" x14ac:dyDescent="0.3">
      <c r="A535" s="1" t="s">
        <v>1098</v>
      </c>
      <c r="B535" s="1" t="s">
        <v>1099</v>
      </c>
      <c r="C535" s="1">
        <v>24</v>
      </c>
      <c r="D535" s="1" t="s">
        <v>16</v>
      </c>
      <c r="E535" s="1" t="s">
        <v>76</v>
      </c>
      <c r="F535" s="1" t="s">
        <v>18</v>
      </c>
      <c r="G535" s="9">
        <v>1271813.23</v>
      </c>
      <c r="H535" s="1">
        <v>1531103.76</v>
      </c>
      <c r="I535" s="1">
        <v>461</v>
      </c>
      <c r="J535" s="1">
        <v>13</v>
      </c>
      <c r="K535" s="1">
        <v>227369</v>
      </c>
      <c r="L535" s="1" t="s">
        <v>40</v>
      </c>
      <c r="M535" s="1" t="s">
        <v>20</v>
      </c>
      <c r="N535" s="1">
        <v>4.5</v>
      </c>
    </row>
    <row r="536" spans="1:14" x14ac:dyDescent="0.3">
      <c r="A536" s="1" t="s">
        <v>1100</v>
      </c>
      <c r="B536" s="1" t="s">
        <v>1101</v>
      </c>
      <c r="C536" s="1">
        <v>63</v>
      </c>
      <c r="D536" s="1" t="s">
        <v>16</v>
      </c>
      <c r="E536" s="1" t="s">
        <v>55</v>
      </c>
      <c r="F536" s="1" t="s">
        <v>25</v>
      </c>
      <c r="G536" s="9">
        <v>892627.13</v>
      </c>
      <c r="H536" s="1">
        <v>709328.86</v>
      </c>
      <c r="I536" s="1">
        <v>787</v>
      </c>
      <c r="J536" s="1">
        <v>359</v>
      </c>
      <c r="K536" s="1">
        <v>190853</v>
      </c>
      <c r="L536" s="1" t="s">
        <v>30</v>
      </c>
      <c r="M536" s="1" t="s">
        <v>20</v>
      </c>
      <c r="N536" s="1">
        <v>1.5</v>
      </c>
    </row>
    <row r="537" spans="1:14" x14ac:dyDescent="0.3">
      <c r="A537" s="1" t="s">
        <v>1102</v>
      </c>
      <c r="B537" s="1" t="s">
        <v>1103</v>
      </c>
      <c r="C537" s="1">
        <v>29</v>
      </c>
      <c r="D537" s="1" t="s">
        <v>23</v>
      </c>
      <c r="E537" s="1" t="s">
        <v>48</v>
      </c>
      <c r="F537" s="1" t="s">
        <v>25</v>
      </c>
      <c r="G537" s="9">
        <v>1039051.99</v>
      </c>
      <c r="H537" s="1">
        <v>1490679.93</v>
      </c>
      <c r="I537" s="1">
        <v>811</v>
      </c>
      <c r="J537" s="1">
        <v>318</v>
      </c>
      <c r="K537" s="1">
        <v>180048</v>
      </c>
      <c r="L537" s="1" t="s">
        <v>19</v>
      </c>
      <c r="M537" s="1" t="s">
        <v>20</v>
      </c>
      <c r="N537" s="1">
        <v>4.8</v>
      </c>
    </row>
    <row r="538" spans="1:14" x14ac:dyDescent="0.3">
      <c r="A538" s="1" t="s">
        <v>1104</v>
      </c>
      <c r="B538" s="1" t="s">
        <v>1105</v>
      </c>
      <c r="C538" s="1">
        <v>30</v>
      </c>
      <c r="D538" s="1" t="s">
        <v>16</v>
      </c>
      <c r="E538" s="1" t="s">
        <v>45</v>
      </c>
      <c r="F538" s="1" t="s">
        <v>39</v>
      </c>
      <c r="G538" s="9">
        <v>1479972.27</v>
      </c>
      <c r="H538" s="1">
        <v>2441978.7000000002</v>
      </c>
      <c r="I538" s="1">
        <v>670</v>
      </c>
      <c r="J538" s="1">
        <v>446</v>
      </c>
      <c r="K538" s="1">
        <v>50803</v>
      </c>
      <c r="L538" s="1" t="s">
        <v>26</v>
      </c>
      <c r="M538" s="1" t="s">
        <v>20</v>
      </c>
      <c r="N538" s="1">
        <v>4</v>
      </c>
    </row>
    <row r="539" spans="1:14" x14ac:dyDescent="0.3">
      <c r="A539" s="1" t="s">
        <v>1106</v>
      </c>
      <c r="B539" s="1" t="s">
        <v>1107</v>
      </c>
      <c r="C539" s="1">
        <v>30</v>
      </c>
      <c r="D539" s="1" t="s">
        <v>16</v>
      </c>
      <c r="E539" s="1" t="s">
        <v>76</v>
      </c>
      <c r="F539" s="1" t="s">
        <v>81</v>
      </c>
      <c r="G539" s="9">
        <v>1195936.3899999999</v>
      </c>
      <c r="H539" s="1">
        <v>1713109.39</v>
      </c>
      <c r="I539" s="1">
        <v>785</v>
      </c>
      <c r="J539" s="1">
        <v>259</v>
      </c>
      <c r="K539" s="1">
        <v>49538</v>
      </c>
      <c r="L539" s="1" t="s">
        <v>26</v>
      </c>
      <c r="M539" s="1" t="s">
        <v>20</v>
      </c>
      <c r="N539" s="1">
        <v>1.7</v>
      </c>
    </row>
    <row r="540" spans="1:14" x14ac:dyDescent="0.3">
      <c r="A540" s="1" t="s">
        <v>1108</v>
      </c>
      <c r="B540" s="1" t="s">
        <v>1109</v>
      </c>
      <c r="C540" s="1">
        <v>45</v>
      </c>
      <c r="D540" s="1" t="s">
        <v>16</v>
      </c>
      <c r="E540" s="1" t="s">
        <v>38</v>
      </c>
      <c r="F540" s="1" t="s">
        <v>39</v>
      </c>
      <c r="G540" s="9">
        <v>504770.47</v>
      </c>
      <c r="H540" s="1">
        <v>2012884.19</v>
      </c>
      <c r="I540" s="1">
        <v>764</v>
      </c>
      <c r="J540" s="1">
        <v>27</v>
      </c>
      <c r="K540" s="1">
        <v>85898</v>
      </c>
      <c r="L540" s="1" t="s">
        <v>19</v>
      </c>
      <c r="M540" s="1" t="s">
        <v>33</v>
      </c>
      <c r="N540" s="1">
        <v>1.4</v>
      </c>
    </row>
    <row r="541" spans="1:14" x14ac:dyDescent="0.3">
      <c r="A541" s="1" t="s">
        <v>1110</v>
      </c>
      <c r="B541" s="1" t="s">
        <v>1111</v>
      </c>
      <c r="C541" s="1">
        <v>50</v>
      </c>
      <c r="D541" s="1" t="s">
        <v>23</v>
      </c>
      <c r="E541" s="1" t="s">
        <v>24</v>
      </c>
      <c r="F541" s="1" t="s">
        <v>81</v>
      </c>
      <c r="G541" s="9">
        <v>110934.95</v>
      </c>
      <c r="H541" s="1">
        <v>588249.57999999996</v>
      </c>
      <c r="I541" s="1">
        <v>755</v>
      </c>
      <c r="J541" s="1">
        <v>308</v>
      </c>
      <c r="K541" s="1">
        <v>50425</v>
      </c>
      <c r="L541" s="1" t="s">
        <v>40</v>
      </c>
      <c r="M541" s="1" t="s">
        <v>20</v>
      </c>
      <c r="N541" s="1">
        <v>3.3</v>
      </c>
    </row>
    <row r="542" spans="1:14" x14ac:dyDescent="0.3">
      <c r="A542" s="1" t="s">
        <v>1112</v>
      </c>
      <c r="B542" s="1" t="s">
        <v>1113</v>
      </c>
      <c r="C542" s="1">
        <v>38</v>
      </c>
      <c r="D542" s="1" t="s">
        <v>16</v>
      </c>
      <c r="E542" s="1" t="s">
        <v>45</v>
      </c>
      <c r="F542" s="1" t="s">
        <v>25</v>
      </c>
      <c r="G542" s="9">
        <v>151605.88</v>
      </c>
      <c r="H542" s="1">
        <v>1844369.67</v>
      </c>
      <c r="I542" s="1">
        <v>504</v>
      </c>
      <c r="J542" s="1">
        <v>197</v>
      </c>
      <c r="K542" s="1">
        <v>79711</v>
      </c>
      <c r="L542" s="1" t="s">
        <v>19</v>
      </c>
      <c r="M542" s="1" t="s">
        <v>33</v>
      </c>
      <c r="N542" s="1">
        <v>4.5999999999999996</v>
      </c>
    </row>
    <row r="543" spans="1:14" x14ac:dyDescent="0.3">
      <c r="A543" s="1" t="s">
        <v>1114</v>
      </c>
      <c r="B543" s="1" t="s">
        <v>1115</v>
      </c>
      <c r="C543" s="1">
        <v>27</v>
      </c>
      <c r="D543" s="1" t="s">
        <v>16</v>
      </c>
      <c r="E543" s="1" t="s">
        <v>48</v>
      </c>
      <c r="F543" s="1" t="s">
        <v>81</v>
      </c>
      <c r="G543" s="9">
        <v>1392191.24</v>
      </c>
      <c r="H543" s="1">
        <v>1137477.18</v>
      </c>
      <c r="I543" s="1">
        <v>696</v>
      </c>
      <c r="J543" s="1">
        <v>196</v>
      </c>
      <c r="K543" s="1">
        <v>76666</v>
      </c>
      <c r="L543" s="1" t="s">
        <v>40</v>
      </c>
      <c r="M543" s="1" t="s">
        <v>33</v>
      </c>
      <c r="N543" s="1">
        <v>1.5</v>
      </c>
    </row>
    <row r="544" spans="1:14" x14ac:dyDescent="0.3">
      <c r="A544" s="1" t="s">
        <v>1116</v>
      </c>
      <c r="B544" s="1" t="s">
        <v>1117</v>
      </c>
      <c r="C544" s="1">
        <v>26</v>
      </c>
      <c r="D544" s="1" t="s">
        <v>23</v>
      </c>
      <c r="E544" s="1" t="s">
        <v>17</v>
      </c>
      <c r="F544" s="1" t="s">
        <v>39</v>
      </c>
      <c r="G544" s="9">
        <v>1039854.74</v>
      </c>
      <c r="H544" s="1">
        <v>149129.29999999999</v>
      </c>
      <c r="I544" s="1">
        <v>439</v>
      </c>
      <c r="J544" s="1">
        <v>61</v>
      </c>
      <c r="K544" s="1">
        <v>28413</v>
      </c>
      <c r="L544" s="1" t="s">
        <v>26</v>
      </c>
      <c r="M544" s="1" t="s">
        <v>20</v>
      </c>
      <c r="N544" s="1">
        <v>4.4000000000000004</v>
      </c>
    </row>
    <row r="545" spans="1:14" x14ac:dyDescent="0.3">
      <c r="A545" s="1" t="s">
        <v>1118</v>
      </c>
      <c r="B545" s="1" t="s">
        <v>1119</v>
      </c>
      <c r="C545" s="1">
        <v>36</v>
      </c>
      <c r="D545" s="1" t="s">
        <v>16</v>
      </c>
      <c r="E545" s="1" t="s">
        <v>29</v>
      </c>
      <c r="F545" s="1" t="s">
        <v>25</v>
      </c>
      <c r="G545" s="9">
        <v>239398.25</v>
      </c>
      <c r="H545" s="1">
        <v>1986413.5</v>
      </c>
      <c r="I545" s="1">
        <v>474</v>
      </c>
      <c r="J545" s="1">
        <v>300</v>
      </c>
      <c r="K545" s="1">
        <v>178239</v>
      </c>
      <c r="L545" s="1" t="s">
        <v>30</v>
      </c>
      <c r="M545" s="1" t="s">
        <v>20</v>
      </c>
      <c r="N545" s="1">
        <v>4.9000000000000004</v>
      </c>
    </row>
    <row r="546" spans="1:14" x14ac:dyDescent="0.3">
      <c r="A546" s="1" t="s">
        <v>1120</v>
      </c>
      <c r="B546" s="1" t="s">
        <v>1121</v>
      </c>
      <c r="C546" s="1">
        <v>55</v>
      </c>
      <c r="D546" s="1" t="s">
        <v>16</v>
      </c>
      <c r="E546" s="1" t="s">
        <v>48</v>
      </c>
      <c r="F546" s="1" t="s">
        <v>25</v>
      </c>
      <c r="G546" s="9">
        <v>1256298.5900000001</v>
      </c>
      <c r="H546" s="1">
        <v>697927.2</v>
      </c>
      <c r="I546" s="1">
        <v>738</v>
      </c>
      <c r="J546" s="1">
        <v>381</v>
      </c>
      <c r="K546" s="1">
        <v>144122</v>
      </c>
      <c r="L546" s="1" t="s">
        <v>40</v>
      </c>
      <c r="M546" s="1" t="s">
        <v>20</v>
      </c>
      <c r="N546" s="1">
        <v>4.5</v>
      </c>
    </row>
    <row r="547" spans="1:14" x14ac:dyDescent="0.3">
      <c r="A547" s="1" t="s">
        <v>1122</v>
      </c>
      <c r="B547" s="1" t="s">
        <v>1123</v>
      </c>
      <c r="C547" s="1">
        <v>54</v>
      </c>
      <c r="D547" s="1" t="s">
        <v>16</v>
      </c>
      <c r="E547" s="1" t="s">
        <v>17</v>
      </c>
      <c r="F547" s="1" t="s">
        <v>25</v>
      </c>
      <c r="G547" s="9">
        <v>629568.92000000004</v>
      </c>
      <c r="H547" s="1">
        <v>110560.49</v>
      </c>
      <c r="I547" s="1">
        <v>781</v>
      </c>
      <c r="J547" s="1">
        <v>380</v>
      </c>
      <c r="K547" s="1">
        <v>21331</v>
      </c>
      <c r="L547" s="1" t="s">
        <v>30</v>
      </c>
      <c r="M547" s="1" t="s">
        <v>20</v>
      </c>
      <c r="N547" s="1">
        <v>4.0999999999999996</v>
      </c>
    </row>
    <row r="548" spans="1:14" x14ac:dyDescent="0.3">
      <c r="A548" s="1" t="s">
        <v>1124</v>
      </c>
      <c r="B548" s="1" t="s">
        <v>1125</v>
      </c>
      <c r="C548" s="1">
        <v>46</v>
      </c>
      <c r="D548" s="1" t="s">
        <v>16</v>
      </c>
      <c r="E548" s="1" t="s">
        <v>38</v>
      </c>
      <c r="F548" s="1" t="s">
        <v>81</v>
      </c>
      <c r="G548" s="9">
        <v>364564.68</v>
      </c>
      <c r="H548" s="1">
        <v>1396217.42</v>
      </c>
      <c r="I548" s="1">
        <v>312</v>
      </c>
      <c r="J548" s="1">
        <v>359</v>
      </c>
      <c r="K548" s="1">
        <v>149836</v>
      </c>
      <c r="L548" s="1" t="s">
        <v>26</v>
      </c>
      <c r="M548" s="1" t="s">
        <v>20</v>
      </c>
      <c r="N548" s="1">
        <v>3.9</v>
      </c>
    </row>
    <row r="549" spans="1:14" x14ac:dyDescent="0.3">
      <c r="A549" s="1" t="s">
        <v>1126</v>
      </c>
      <c r="B549" s="1" t="s">
        <v>1127</v>
      </c>
      <c r="C549" s="1">
        <v>59</v>
      </c>
      <c r="D549" s="1" t="s">
        <v>16</v>
      </c>
      <c r="E549" s="1" t="s">
        <v>45</v>
      </c>
      <c r="F549" s="1" t="s">
        <v>25</v>
      </c>
      <c r="G549" s="9">
        <v>28815.599999999999</v>
      </c>
      <c r="H549" s="1">
        <v>1672589.02</v>
      </c>
      <c r="I549" s="1">
        <v>465</v>
      </c>
      <c r="J549" s="1">
        <v>365</v>
      </c>
      <c r="K549" s="1">
        <v>43784</v>
      </c>
      <c r="L549" s="1" t="s">
        <v>40</v>
      </c>
      <c r="M549" s="1" t="s">
        <v>33</v>
      </c>
      <c r="N549" s="1">
        <v>2.8</v>
      </c>
    </row>
    <row r="550" spans="1:14" x14ac:dyDescent="0.3">
      <c r="A550" s="1" t="s">
        <v>1128</v>
      </c>
      <c r="B550" s="1" t="s">
        <v>1129</v>
      </c>
      <c r="C550" s="1">
        <v>29</v>
      </c>
      <c r="D550" s="1" t="s">
        <v>23</v>
      </c>
      <c r="E550" s="1" t="s">
        <v>48</v>
      </c>
      <c r="F550" s="1" t="s">
        <v>18</v>
      </c>
      <c r="G550" s="9">
        <v>1307969.94</v>
      </c>
      <c r="H550" s="1">
        <v>1567027.39</v>
      </c>
      <c r="I550" s="1">
        <v>301</v>
      </c>
      <c r="J550" s="1">
        <v>445</v>
      </c>
      <c r="K550" s="1">
        <v>227056</v>
      </c>
      <c r="L550" s="1" t="s">
        <v>26</v>
      </c>
      <c r="M550" s="1" t="s">
        <v>33</v>
      </c>
      <c r="N550" s="1">
        <v>3.5</v>
      </c>
    </row>
    <row r="551" spans="1:14" x14ac:dyDescent="0.3">
      <c r="A551" s="1" t="s">
        <v>1130</v>
      </c>
      <c r="B551" s="1" t="s">
        <v>1131</v>
      </c>
      <c r="C551" s="1">
        <v>66</v>
      </c>
      <c r="D551" s="1" t="s">
        <v>16</v>
      </c>
      <c r="E551" s="1" t="s">
        <v>48</v>
      </c>
      <c r="F551" s="1" t="s">
        <v>18</v>
      </c>
      <c r="G551" s="9">
        <v>1048592.2</v>
      </c>
      <c r="H551" s="1">
        <v>1531253.09</v>
      </c>
      <c r="I551" s="1">
        <v>889</v>
      </c>
      <c r="J551" s="1">
        <v>411</v>
      </c>
      <c r="K551" s="1">
        <v>90723</v>
      </c>
      <c r="L551" s="1" t="s">
        <v>26</v>
      </c>
      <c r="M551" s="1" t="s">
        <v>20</v>
      </c>
      <c r="N551" s="1">
        <v>1.8</v>
      </c>
    </row>
    <row r="552" spans="1:14" x14ac:dyDescent="0.3">
      <c r="A552" s="1" t="s">
        <v>1132</v>
      </c>
      <c r="B552" s="1" t="s">
        <v>1133</v>
      </c>
      <c r="C552" s="1">
        <v>25</v>
      </c>
      <c r="D552" s="1" t="s">
        <v>16</v>
      </c>
      <c r="E552" s="1" t="s">
        <v>24</v>
      </c>
      <c r="F552" s="1" t="s">
        <v>39</v>
      </c>
      <c r="G552" s="9">
        <v>551558.32999999996</v>
      </c>
      <c r="H552" s="1">
        <v>1547833.63</v>
      </c>
      <c r="I552" s="1">
        <v>674</v>
      </c>
      <c r="J552" s="1">
        <v>192</v>
      </c>
      <c r="K552" s="1">
        <v>120389</v>
      </c>
      <c r="L552" s="1" t="s">
        <v>26</v>
      </c>
      <c r="M552" s="1" t="s">
        <v>20</v>
      </c>
      <c r="N552" s="1">
        <v>1.7</v>
      </c>
    </row>
    <row r="553" spans="1:14" x14ac:dyDescent="0.3">
      <c r="A553" s="1" t="s">
        <v>1134</v>
      </c>
      <c r="B553" s="1" t="s">
        <v>1135</v>
      </c>
      <c r="C553" s="1">
        <v>52</v>
      </c>
      <c r="D553" s="1" t="s">
        <v>16</v>
      </c>
      <c r="E553" s="1" t="s">
        <v>24</v>
      </c>
      <c r="F553" s="1" t="s">
        <v>81</v>
      </c>
      <c r="G553" s="9">
        <v>975312.41</v>
      </c>
      <c r="H553" s="1">
        <v>1843450.16</v>
      </c>
      <c r="I553" s="1">
        <v>894</v>
      </c>
      <c r="J553" s="1">
        <v>451</v>
      </c>
      <c r="K553" s="1">
        <v>49768</v>
      </c>
      <c r="L553" s="1" t="s">
        <v>26</v>
      </c>
      <c r="M553" s="1" t="s">
        <v>33</v>
      </c>
      <c r="N553" s="1">
        <v>4.8</v>
      </c>
    </row>
    <row r="554" spans="1:14" x14ac:dyDescent="0.3">
      <c r="A554" s="1" t="s">
        <v>1136</v>
      </c>
      <c r="B554" s="1" t="s">
        <v>1137</v>
      </c>
      <c r="C554" s="1">
        <v>50</v>
      </c>
      <c r="D554" s="1" t="s">
        <v>16</v>
      </c>
      <c r="E554" s="1" t="s">
        <v>45</v>
      </c>
      <c r="F554" s="1" t="s">
        <v>81</v>
      </c>
      <c r="G554" s="9">
        <v>637279.04</v>
      </c>
      <c r="H554" s="1">
        <v>136149.99</v>
      </c>
      <c r="I554" s="1">
        <v>681</v>
      </c>
      <c r="J554" s="1">
        <v>181</v>
      </c>
      <c r="K554" s="1">
        <v>198317</v>
      </c>
      <c r="L554" s="1" t="s">
        <v>30</v>
      </c>
      <c r="M554" s="1" t="s">
        <v>33</v>
      </c>
      <c r="N554" s="1">
        <v>2.8</v>
      </c>
    </row>
    <row r="555" spans="1:14" x14ac:dyDescent="0.3">
      <c r="A555" s="1" t="s">
        <v>1138</v>
      </c>
      <c r="B555" s="1" t="s">
        <v>1139</v>
      </c>
      <c r="C555" s="1">
        <v>69</v>
      </c>
      <c r="D555" s="1" t="s">
        <v>23</v>
      </c>
      <c r="E555" s="1" t="s">
        <v>29</v>
      </c>
      <c r="F555" s="1" t="s">
        <v>18</v>
      </c>
      <c r="G555" s="9">
        <v>1418321.16</v>
      </c>
      <c r="H555" s="1">
        <v>2021989.69</v>
      </c>
      <c r="I555" s="1">
        <v>367</v>
      </c>
      <c r="J555" s="1">
        <v>101</v>
      </c>
      <c r="K555" s="1">
        <v>196503</v>
      </c>
      <c r="L555" s="1" t="s">
        <v>30</v>
      </c>
      <c r="M555" s="1" t="s">
        <v>20</v>
      </c>
      <c r="N555" s="1">
        <v>4.5999999999999996</v>
      </c>
    </row>
    <row r="556" spans="1:14" x14ac:dyDescent="0.3">
      <c r="A556" s="1" t="s">
        <v>1140</v>
      </c>
      <c r="B556" s="1" t="s">
        <v>1141</v>
      </c>
      <c r="C556" s="1">
        <v>36</v>
      </c>
      <c r="D556" s="1" t="s">
        <v>16</v>
      </c>
      <c r="E556" s="1" t="s">
        <v>76</v>
      </c>
      <c r="F556" s="1" t="s">
        <v>81</v>
      </c>
      <c r="G556" s="9">
        <v>168500.56</v>
      </c>
      <c r="H556" s="1">
        <v>689856.84</v>
      </c>
      <c r="I556" s="1">
        <v>451</v>
      </c>
      <c r="J556" s="1">
        <v>259</v>
      </c>
      <c r="K556" s="1">
        <v>40171</v>
      </c>
      <c r="L556" s="1" t="s">
        <v>30</v>
      </c>
      <c r="M556" s="1" t="s">
        <v>20</v>
      </c>
      <c r="N556" s="1">
        <v>1.6</v>
      </c>
    </row>
    <row r="557" spans="1:14" x14ac:dyDescent="0.3">
      <c r="A557" s="1" t="s">
        <v>1142</v>
      </c>
      <c r="B557" s="1" t="s">
        <v>1143</v>
      </c>
      <c r="C557" s="1">
        <v>48</v>
      </c>
      <c r="D557" s="1" t="s">
        <v>16</v>
      </c>
      <c r="E557" s="1" t="s">
        <v>24</v>
      </c>
      <c r="F557" s="1" t="s">
        <v>81</v>
      </c>
      <c r="G557" s="9">
        <v>633094.31000000006</v>
      </c>
      <c r="H557" s="1">
        <v>1844273.11</v>
      </c>
      <c r="I557" s="1">
        <v>321</v>
      </c>
      <c r="J557" s="1">
        <v>154</v>
      </c>
      <c r="K557" s="1">
        <v>110885</v>
      </c>
      <c r="L557" s="1" t="s">
        <v>30</v>
      </c>
      <c r="M557" s="1" t="s">
        <v>33</v>
      </c>
      <c r="N557" s="1">
        <v>1.8</v>
      </c>
    </row>
    <row r="558" spans="1:14" x14ac:dyDescent="0.3">
      <c r="A558" s="1" t="s">
        <v>1144</v>
      </c>
      <c r="B558" s="1" t="s">
        <v>1145</v>
      </c>
      <c r="C558" s="1">
        <v>59</v>
      </c>
      <c r="D558" s="1" t="s">
        <v>23</v>
      </c>
      <c r="E558" s="1" t="s">
        <v>55</v>
      </c>
      <c r="F558" s="1" t="s">
        <v>39</v>
      </c>
      <c r="G558" s="9">
        <v>1181302.42</v>
      </c>
      <c r="H558" s="1">
        <v>1215370.98</v>
      </c>
      <c r="I558" s="1">
        <v>842</v>
      </c>
      <c r="J558" s="1">
        <v>436</v>
      </c>
      <c r="K558" s="1">
        <v>189358</v>
      </c>
      <c r="L558" s="1" t="s">
        <v>26</v>
      </c>
      <c r="M558" s="1" t="s">
        <v>20</v>
      </c>
      <c r="N558" s="1">
        <v>3.2</v>
      </c>
    </row>
    <row r="559" spans="1:14" x14ac:dyDescent="0.3">
      <c r="A559" s="1" t="s">
        <v>1146</v>
      </c>
      <c r="B559" s="1" t="s">
        <v>1147</v>
      </c>
      <c r="C559" s="1">
        <v>68</v>
      </c>
      <c r="D559" s="1" t="s">
        <v>16</v>
      </c>
      <c r="E559" s="1" t="s">
        <v>48</v>
      </c>
      <c r="F559" s="1" t="s">
        <v>81</v>
      </c>
      <c r="G559" s="9">
        <v>344039</v>
      </c>
      <c r="H559" s="1">
        <v>929755.79</v>
      </c>
      <c r="I559" s="1">
        <v>595</v>
      </c>
      <c r="J559" s="1">
        <v>399</v>
      </c>
      <c r="K559" s="1">
        <v>88159</v>
      </c>
      <c r="L559" s="1" t="s">
        <v>30</v>
      </c>
      <c r="M559" s="1" t="s">
        <v>20</v>
      </c>
      <c r="N559" s="1">
        <v>4.4000000000000004</v>
      </c>
    </row>
    <row r="560" spans="1:14" x14ac:dyDescent="0.3">
      <c r="A560" s="1" t="s">
        <v>1148</v>
      </c>
      <c r="B560" s="1" t="s">
        <v>1149</v>
      </c>
      <c r="C560" s="1">
        <v>57</v>
      </c>
      <c r="D560" s="1" t="s">
        <v>16</v>
      </c>
      <c r="E560" s="1" t="s">
        <v>38</v>
      </c>
      <c r="F560" s="1" t="s">
        <v>39</v>
      </c>
      <c r="G560" s="9">
        <v>1069159.2</v>
      </c>
      <c r="H560" s="1">
        <v>713116.46</v>
      </c>
      <c r="I560" s="1">
        <v>479</v>
      </c>
      <c r="J560" s="1">
        <v>434</v>
      </c>
      <c r="K560" s="1">
        <v>62150</v>
      </c>
      <c r="L560" s="1" t="s">
        <v>19</v>
      </c>
      <c r="M560" s="1" t="s">
        <v>20</v>
      </c>
      <c r="N560" s="1">
        <v>3.8</v>
      </c>
    </row>
    <row r="561" spans="1:14" x14ac:dyDescent="0.3">
      <c r="A561" s="1" t="s">
        <v>1150</v>
      </c>
      <c r="B561" s="1" t="s">
        <v>1151</v>
      </c>
      <c r="C561" s="1">
        <v>38</v>
      </c>
      <c r="D561" s="1" t="s">
        <v>16</v>
      </c>
      <c r="E561" s="1" t="s">
        <v>48</v>
      </c>
      <c r="F561" s="1" t="s">
        <v>81</v>
      </c>
      <c r="G561" s="9">
        <v>194077.9</v>
      </c>
      <c r="H561" s="1">
        <v>651017.99</v>
      </c>
      <c r="I561" s="1">
        <v>488</v>
      </c>
      <c r="J561" s="1">
        <v>110</v>
      </c>
      <c r="K561" s="1">
        <v>170608</v>
      </c>
      <c r="L561" s="1" t="s">
        <v>40</v>
      </c>
      <c r="M561" s="1" t="s">
        <v>33</v>
      </c>
      <c r="N561" s="1">
        <v>3.2</v>
      </c>
    </row>
    <row r="562" spans="1:14" x14ac:dyDescent="0.3">
      <c r="A562" s="1" t="s">
        <v>1152</v>
      </c>
      <c r="B562" s="1" t="s">
        <v>1153</v>
      </c>
      <c r="C562" s="1">
        <v>46</v>
      </c>
      <c r="D562" s="1" t="s">
        <v>23</v>
      </c>
      <c r="E562" s="1" t="s">
        <v>38</v>
      </c>
      <c r="F562" s="1" t="s">
        <v>25</v>
      </c>
      <c r="G562" s="9">
        <v>1463321.19</v>
      </c>
      <c r="H562" s="1">
        <v>1334107.3899999999</v>
      </c>
      <c r="I562" s="1">
        <v>424</v>
      </c>
      <c r="J562" s="1">
        <v>476</v>
      </c>
      <c r="K562" s="1">
        <v>161522</v>
      </c>
      <c r="L562" s="1" t="s">
        <v>26</v>
      </c>
      <c r="M562" s="1" t="s">
        <v>20</v>
      </c>
      <c r="N562" s="1">
        <v>1.1000000000000001</v>
      </c>
    </row>
    <row r="563" spans="1:14" x14ac:dyDescent="0.3">
      <c r="A563" s="1" t="s">
        <v>1154</v>
      </c>
      <c r="B563" s="1" t="s">
        <v>1155</v>
      </c>
      <c r="C563" s="1">
        <v>18</v>
      </c>
      <c r="D563" s="1" t="s">
        <v>16</v>
      </c>
      <c r="E563" s="1" t="s">
        <v>45</v>
      </c>
      <c r="F563" s="1" t="s">
        <v>81</v>
      </c>
      <c r="G563" s="9">
        <v>821487.65</v>
      </c>
      <c r="H563" s="1">
        <v>1268522.58</v>
      </c>
      <c r="I563" s="1">
        <v>602</v>
      </c>
      <c r="J563" s="1">
        <v>247</v>
      </c>
      <c r="K563" s="1">
        <v>213592</v>
      </c>
      <c r="L563" s="1" t="s">
        <v>19</v>
      </c>
      <c r="M563" s="1" t="s">
        <v>33</v>
      </c>
      <c r="N563" s="1">
        <v>4.5999999999999996</v>
      </c>
    </row>
    <row r="564" spans="1:14" x14ac:dyDescent="0.3">
      <c r="A564" s="1" t="s">
        <v>1156</v>
      </c>
      <c r="B564" s="1" t="s">
        <v>1157</v>
      </c>
      <c r="C564" s="1">
        <v>20</v>
      </c>
      <c r="D564" s="1" t="s">
        <v>16</v>
      </c>
      <c r="E564" s="1" t="s">
        <v>45</v>
      </c>
      <c r="F564" s="1" t="s">
        <v>81</v>
      </c>
      <c r="G564" s="9">
        <v>1018622.46</v>
      </c>
      <c r="H564" s="1">
        <v>292190.24</v>
      </c>
      <c r="I564" s="1">
        <v>325</v>
      </c>
      <c r="J564" s="1">
        <v>210</v>
      </c>
      <c r="K564" s="1">
        <v>56548</v>
      </c>
      <c r="L564" s="1" t="s">
        <v>19</v>
      </c>
      <c r="M564" s="1" t="s">
        <v>33</v>
      </c>
      <c r="N564" s="1">
        <v>3.5</v>
      </c>
    </row>
    <row r="565" spans="1:14" x14ac:dyDescent="0.3">
      <c r="A565" s="1" t="s">
        <v>1158</v>
      </c>
      <c r="B565" s="1" t="s">
        <v>1159</v>
      </c>
      <c r="C565" s="1">
        <v>21</v>
      </c>
      <c r="D565" s="1" t="s">
        <v>23</v>
      </c>
      <c r="E565" s="1" t="s">
        <v>24</v>
      </c>
      <c r="F565" s="1" t="s">
        <v>18</v>
      </c>
      <c r="G565" s="9">
        <v>963762.42</v>
      </c>
      <c r="H565" s="1">
        <v>1458578.6</v>
      </c>
      <c r="I565" s="1">
        <v>527</v>
      </c>
      <c r="J565" s="1">
        <v>405</v>
      </c>
      <c r="K565" s="1">
        <v>179423</v>
      </c>
      <c r="L565" s="1" t="s">
        <v>19</v>
      </c>
      <c r="M565" s="1" t="s">
        <v>33</v>
      </c>
      <c r="N565" s="1">
        <v>4.7</v>
      </c>
    </row>
    <row r="566" spans="1:14" x14ac:dyDescent="0.3">
      <c r="A566" s="1" t="s">
        <v>1160</v>
      </c>
      <c r="B566" s="1" t="s">
        <v>1161</v>
      </c>
      <c r="C566" s="1">
        <v>61</v>
      </c>
      <c r="D566" s="1" t="s">
        <v>16</v>
      </c>
      <c r="E566" s="1" t="s">
        <v>48</v>
      </c>
      <c r="F566" s="1" t="s">
        <v>25</v>
      </c>
      <c r="G566" s="9">
        <v>1436647.43</v>
      </c>
      <c r="H566" s="1">
        <v>2439598.77</v>
      </c>
      <c r="I566" s="1">
        <v>703</v>
      </c>
      <c r="J566" s="1">
        <v>104</v>
      </c>
      <c r="K566" s="1">
        <v>196044</v>
      </c>
      <c r="L566" s="1" t="s">
        <v>40</v>
      </c>
      <c r="M566" s="1" t="s">
        <v>33</v>
      </c>
      <c r="N566" s="1">
        <v>3</v>
      </c>
    </row>
    <row r="567" spans="1:14" x14ac:dyDescent="0.3">
      <c r="A567" s="1" t="s">
        <v>1162</v>
      </c>
      <c r="B567" s="1" t="s">
        <v>1163</v>
      </c>
      <c r="C567" s="1">
        <v>41</v>
      </c>
      <c r="D567" s="1" t="s">
        <v>16</v>
      </c>
      <c r="E567" s="1" t="s">
        <v>24</v>
      </c>
      <c r="F567" s="1" t="s">
        <v>25</v>
      </c>
      <c r="G567" s="9">
        <v>562382.56999999995</v>
      </c>
      <c r="H567" s="1">
        <v>711625.91</v>
      </c>
      <c r="I567" s="1">
        <v>659</v>
      </c>
      <c r="J567" s="1">
        <v>162</v>
      </c>
      <c r="K567" s="1">
        <v>121217</v>
      </c>
      <c r="L567" s="1" t="s">
        <v>30</v>
      </c>
      <c r="M567" s="1" t="s">
        <v>33</v>
      </c>
      <c r="N567" s="1">
        <v>4.9000000000000004</v>
      </c>
    </row>
    <row r="568" spans="1:14" x14ac:dyDescent="0.3">
      <c r="A568" s="1" t="s">
        <v>1164</v>
      </c>
      <c r="B568" s="1" t="s">
        <v>1165</v>
      </c>
      <c r="C568" s="1">
        <v>36</v>
      </c>
      <c r="D568" s="1" t="s">
        <v>16</v>
      </c>
      <c r="E568" s="1" t="s">
        <v>29</v>
      </c>
      <c r="F568" s="1" t="s">
        <v>39</v>
      </c>
      <c r="G568" s="9">
        <v>1209480.81</v>
      </c>
      <c r="H568" s="1">
        <v>2425901.6800000002</v>
      </c>
      <c r="I568" s="1">
        <v>734</v>
      </c>
      <c r="J568" s="1">
        <v>378</v>
      </c>
      <c r="K568" s="1">
        <v>62936</v>
      </c>
      <c r="L568" s="1" t="s">
        <v>40</v>
      </c>
      <c r="M568" s="1" t="s">
        <v>33</v>
      </c>
      <c r="N568" s="1">
        <v>4.5999999999999996</v>
      </c>
    </row>
    <row r="569" spans="1:14" x14ac:dyDescent="0.3">
      <c r="A569" s="1" t="s">
        <v>1166</v>
      </c>
      <c r="B569" s="1" t="s">
        <v>1167</v>
      </c>
      <c r="C569" s="1">
        <v>48</v>
      </c>
      <c r="D569" s="1" t="s">
        <v>23</v>
      </c>
      <c r="E569" s="1" t="s">
        <v>17</v>
      </c>
      <c r="F569" s="1" t="s">
        <v>39</v>
      </c>
      <c r="G569" s="9">
        <v>790325.06</v>
      </c>
      <c r="H569" s="1">
        <v>838541.86</v>
      </c>
      <c r="I569" s="1">
        <v>684</v>
      </c>
      <c r="J569" s="1">
        <v>50</v>
      </c>
      <c r="K569" s="1">
        <v>247416</v>
      </c>
      <c r="L569" s="1" t="s">
        <v>30</v>
      </c>
      <c r="M569" s="1" t="s">
        <v>20</v>
      </c>
      <c r="N569" s="1">
        <v>1</v>
      </c>
    </row>
    <row r="570" spans="1:14" x14ac:dyDescent="0.3">
      <c r="A570" s="1" t="s">
        <v>1168</v>
      </c>
      <c r="B570" s="1" t="s">
        <v>1169</v>
      </c>
      <c r="C570" s="1">
        <v>30</v>
      </c>
      <c r="D570" s="1" t="s">
        <v>23</v>
      </c>
      <c r="E570" s="1" t="s">
        <v>55</v>
      </c>
      <c r="F570" s="1" t="s">
        <v>25</v>
      </c>
      <c r="G570" s="9">
        <v>1249264.17</v>
      </c>
      <c r="H570" s="1">
        <v>723657.92</v>
      </c>
      <c r="I570" s="1">
        <v>802</v>
      </c>
      <c r="J570" s="1">
        <v>26</v>
      </c>
      <c r="K570" s="1">
        <v>68760</v>
      </c>
      <c r="L570" s="1" t="s">
        <v>30</v>
      </c>
      <c r="M570" s="1" t="s">
        <v>20</v>
      </c>
      <c r="N570" s="1">
        <v>4.3</v>
      </c>
    </row>
    <row r="571" spans="1:14" x14ac:dyDescent="0.3">
      <c r="A571" s="1" t="s">
        <v>1170</v>
      </c>
      <c r="B571" s="1" t="s">
        <v>1171</v>
      </c>
      <c r="C571" s="1">
        <v>19</v>
      </c>
      <c r="D571" s="1" t="s">
        <v>23</v>
      </c>
      <c r="E571" s="1" t="s">
        <v>17</v>
      </c>
      <c r="F571" s="1" t="s">
        <v>39</v>
      </c>
      <c r="G571" s="9">
        <v>8657.7800000000007</v>
      </c>
      <c r="H571" s="1">
        <v>656692.56000000006</v>
      </c>
      <c r="I571" s="1">
        <v>783</v>
      </c>
      <c r="J571" s="1">
        <v>68</v>
      </c>
      <c r="K571" s="1">
        <v>227413</v>
      </c>
      <c r="L571" s="1" t="s">
        <v>30</v>
      </c>
      <c r="M571" s="1" t="s">
        <v>20</v>
      </c>
      <c r="N571" s="1">
        <v>3.6</v>
      </c>
    </row>
    <row r="572" spans="1:14" x14ac:dyDescent="0.3">
      <c r="A572" s="1" t="s">
        <v>1172</v>
      </c>
      <c r="B572" s="1" t="s">
        <v>1173</v>
      </c>
      <c r="C572" s="1">
        <v>19</v>
      </c>
      <c r="D572" s="1" t="s">
        <v>23</v>
      </c>
      <c r="E572" s="1" t="s">
        <v>17</v>
      </c>
      <c r="F572" s="1" t="s">
        <v>81</v>
      </c>
      <c r="G572" s="9">
        <v>1148253.94</v>
      </c>
      <c r="H572" s="1">
        <v>1232625.56</v>
      </c>
      <c r="I572" s="1">
        <v>368</v>
      </c>
      <c r="J572" s="1">
        <v>311</v>
      </c>
      <c r="K572" s="1">
        <v>51288</v>
      </c>
      <c r="L572" s="1" t="s">
        <v>30</v>
      </c>
      <c r="M572" s="1" t="s">
        <v>20</v>
      </c>
      <c r="N572" s="1">
        <v>4</v>
      </c>
    </row>
    <row r="573" spans="1:14" x14ac:dyDescent="0.3">
      <c r="A573" s="1" t="s">
        <v>1174</v>
      </c>
      <c r="B573" s="1" t="s">
        <v>1175</v>
      </c>
      <c r="C573" s="1">
        <v>41</v>
      </c>
      <c r="D573" s="1" t="s">
        <v>16</v>
      </c>
      <c r="E573" s="1" t="s">
        <v>48</v>
      </c>
      <c r="F573" s="1" t="s">
        <v>25</v>
      </c>
      <c r="G573" s="9">
        <v>1100771.1200000001</v>
      </c>
      <c r="H573" s="1">
        <v>43862.7</v>
      </c>
      <c r="I573" s="1">
        <v>565</v>
      </c>
      <c r="J573" s="1">
        <v>88</v>
      </c>
      <c r="K573" s="1">
        <v>154355</v>
      </c>
      <c r="L573" s="1" t="s">
        <v>40</v>
      </c>
      <c r="M573" s="1" t="s">
        <v>33</v>
      </c>
      <c r="N573" s="1">
        <v>3.3</v>
      </c>
    </row>
    <row r="574" spans="1:14" x14ac:dyDescent="0.3">
      <c r="A574" s="1" t="s">
        <v>1176</v>
      </c>
      <c r="B574" s="1" t="s">
        <v>1177</v>
      </c>
      <c r="C574" s="1">
        <v>28</v>
      </c>
      <c r="D574" s="1" t="s">
        <v>16</v>
      </c>
      <c r="E574" s="1" t="s">
        <v>24</v>
      </c>
      <c r="F574" s="1" t="s">
        <v>39</v>
      </c>
      <c r="G574" s="9">
        <v>412642.18</v>
      </c>
      <c r="H574" s="1">
        <v>1048785.01</v>
      </c>
      <c r="I574" s="1">
        <v>664</v>
      </c>
      <c r="J574" s="1">
        <v>29</v>
      </c>
      <c r="K574" s="1">
        <v>33864</v>
      </c>
      <c r="L574" s="1" t="s">
        <v>19</v>
      </c>
      <c r="M574" s="1" t="s">
        <v>20</v>
      </c>
      <c r="N574" s="1">
        <v>2.2000000000000002</v>
      </c>
    </row>
    <row r="575" spans="1:14" x14ac:dyDescent="0.3">
      <c r="A575" s="1" t="s">
        <v>1178</v>
      </c>
      <c r="B575" s="1" t="s">
        <v>1179</v>
      </c>
      <c r="C575" s="1">
        <v>52</v>
      </c>
      <c r="D575" s="1" t="s">
        <v>23</v>
      </c>
      <c r="E575" s="1" t="s">
        <v>29</v>
      </c>
      <c r="F575" s="1" t="s">
        <v>81</v>
      </c>
      <c r="G575" s="9">
        <v>1309302.49</v>
      </c>
      <c r="H575" s="1">
        <v>2067054.99</v>
      </c>
      <c r="I575" s="1">
        <v>608</v>
      </c>
      <c r="J575" s="1">
        <v>143</v>
      </c>
      <c r="K575" s="1">
        <v>104569</v>
      </c>
      <c r="L575" s="1" t="s">
        <v>40</v>
      </c>
      <c r="M575" s="1" t="s">
        <v>20</v>
      </c>
      <c r="N575" s="1">
        <v>3.7</v>
      </c>
    </row>
    <row r="576" spans="1:14" x14ac:dyDescent="0.3">
      <c r="A576" s="1" t="s">
        <v>1180</v>
      </c>
      <c r="B576" s="1" t="s">
        <v>1181</v>
      </c>
      <c r="C576" s="1">
        <v>26</v>
      </c>
      <c r="D576" s="1" t="s">
        <v>16</v>
      </c>
      <c r="E576" s="1" t="s">
        <v>29</v>
      </c>
      <c r="F576" s="1" t="s">
        <v>39</v>
      </c>
      <c r="G576" s="9">
        <v>425719.55</v>
      </c>
      <c r="H576" s="1">
        <v>1947019.61</v>
      </c>
      <c r="I576" s="1">
        <v>721</v>
      </c>
      <c r="J576" s="1">
        <v>179</v>
      </c>
      <c r="K576" s="1">
        <v>155835</v>
      </c>
      <c r="L576" s="1" t="s">
        <v>40</v>
      </c>
      <c r="M576" s="1" t="s">
        <v>20</v>
      </c>
      <c r="N576" s="1">
        <v>4.7</v>
      </c>
    </row>
    <row r="577" spans="1:14" x14ac:dyDescent="0.3">
      <c r="A577" s="1" t="s">
        <v>1182</v>
      </c>
      <c r="B577" s="1" t="s">
        <v>1183</v>
      </c>
      <c r="C577" s="1">
        <v>30</v>
      </c>
      <c r="D577" s="1" t="s">
        <v>16</v>
      </c>
      <c r="E577" s="1" t="s">
        <v>17</v>
      </c>
      <c r="F577" s="1" t="s">
        <v>25</v>
      </c>
      <c r="G577" s="9">
        <v>1346099.82</v>
      </c>
      <c r="H577" s="1">
        <v>1533570.9</v>
      </c>
      <c r="I577" s="1">
        <v>838</v>
      </c>
      <c r="J577" s="1">
        <v>438</v>
      </c>
      <c r="K577" s="1">
        <v>228432</v>
      </c>
      <c r="L577" s="1" t="s">
        <v>19</v>
      </c>
      <c r="M577" s="1" t="s">
        <v>20</v>
      </c>
      <c r="N577" s="1">
        <v>3.1</v>
      </c>
    </row>
    <row r="578" spans="1:14" x14ac:dyDescent="0.3">
      <c r="A578" s="1" t="s">
        <v>1184</v>
      </c>
      <c r="B578" s="1" t="s">
        <v>1185</v>
      </c>
      <c r="C578" s="1">
        <v>70</v>
      </c>
      <c r="D578" s="1" t="s">
        <v>23</v>
      </c>
      <c r="E578" s="1" t="s">
        <v>48</v>
      </c>
      <c r="F578" s="1" t="s">
        <v>39</v>
      </c>
      <c r="G578" s="9">
        <v>1385497.58</v>
      </c>
      <c r="H578" s="1">
        <v>1198795.57</v>
      </c>
      <c r="I578" s="1">
        <v>619</v>
      </c>
      <c r="J578" s="1">
        <v>358</v>
      </c>
      <c r="K578" s="1">
        <v>54401</v>
      </c>
      <c r="L578" s="1" t="s">
        <v>26</v>
      </c>
      <c r="M578" s="1" t="s">
        <v>20</v>
      </c>
      <c r="N578" s="1">
        <v>2.5</v>
      </c>
    </row>
    <row r="579" spans="1:14" x14ac:dyDescent="0.3">
      <c r="A579" s="1" t="s">
        <v>1186</v>
      </c>
      <c r="B579" s="1" t="s">
        <v>1187</v>
      </c>
      <c r="C579" s="1">
        <v>65</v>
      </c>
      <c r="D579" s="1" t="s">
        <v>16</v>
      </c>
      <c r="E579" s="1" t="s">
        <v>24</v>
      </c>
      <c r="F579" s="1" t="s">
        <v>39</v>
      </c>
      <c r="G579" s="9">
        <v>182302.35</v>
      </c>
      <c r="H579" s="1">
        <v>321786.2</v>
      </c>
      <c r="I579" s="1">
        <v>445</v>
      </c>
      <c r="J579" s="1">
        <v>357</v>
      </c>
      <c r="K579" s="1">
        <v>233535</v>
      </c>
      <c r="L579" s="1" t="s">
        <v>19</v>
      </c>
      <c r="M579" s="1" t="s">
        <v>33</v>
      </c>
      <c r="N579" s="1">
        <v>1.9</v>
      </c>
    </row>
    <row r="580" spans="1:14" x14ac:dyDescent="0.3">
      <c r="A580" s="1" t="s">
        <v>1188</v>
      </c>
      <c r="B580" s="1" t="s">
        <v>1189</v>
      </c>
      <c r="C580" s="1">
        <v>62</v>
      </c>
      <c r="D580" s="1" t="s">
        <v>16</v>
      </c>
      <c r="E580" s="1" t="s">
        <v>29</v>
      </c>
      <c r="F580" s="1" t="s">
        <v>18</v>
      </c>
      <c r="G580" s="9">
        <v>1177124.44</v>
      </c>
      <c r="H580" s="1">
        <v>194338.24</v>
      </c>
      <c r="I580" s="1">
        <v>795</v>
      </c>
      <c r="J580" s="1">
        <v>392</v>
      </c>
      <c r="K580" s="1">
        <v>220022</v>
      </c>
      <c r="L580" s="1" t="s">
        <v>19</v>
      </c>
      <c r="M580" s="1" t="s">
        <v>33</v>
      </c>
      <c r="N580" s="1">
        <v>2.7</v>
      </c>
    </row>
    <row r="581" spans="1:14" x14ac:dyDescent="0.3">
      <c r="A581" s="1" t="s">
        <v>1190</v>
      </c>
      <c r="B581" s="1" t="s">
        <v>1191</v>
      </c>
      <c r="C581" s="1">
        <v>25</v>
      </c>
      <c r="D581" s="1" t="s">
        <v>16</v>
      </c>
      <c r="E581" s="1" t="s">
        <v>24</v>
      </c>
      <c r="F581" s="1" t="s">
        <v>39</v>
      </c>
      <c r="G581" s="9">
        <v>69705.84</v>
      </c>
      <c r="H581" s="1">
        <v>754114.51</v>
      </c>
      <c r="I581" s="1">
        <v>310</v>
      </c>
      <c r="J581" s="1">
        <v>391</v>
      </c>
      <c r="K581" s="1">
        <v>86325</v>
      </c>
      <c r="L581" s="1" t="s">
        <v>40</v>
      </c>
      <c r="M581" s="1" t="s">
        <v>33</v>
      </c>
      <c r="N581" s="1">
        <v>1.4</v>
      </c>
    </row>
    <row r="582" spans="1:14" x14ac:dyDescent="0.3">
      <c r="A582" s="1" t="s">
        <v>1192</v>
      </c>
      <c r="B582" s="1" t="s">
        <v>1193</v>
      </c>
      <c r="C582" s="1">
        <v>19</v>
      </c>
      <c r="D582" s="1" t="s">
        <v>23</v>
      </c>
      <c r="E582" s="1" t="s">
        <v>38</v>
      </c>
      <c r="F582" s="1" t="s">
        <v>39</v>
      </c>
      <c r="G582" s="9">
        <v>222607.68</v>
      </c>
      <c r="H582" s="1">
        <v>1865495.03</v>
      </c>
      <c r="I582" s="1">
        <v>584</v>
      </c>
      <c r="J582" s="1">
        <v>490</v>
      </c>
      <c r="K582" s="1">
        <v>43797</v>
      </c>
      <c r="L582" s="1" t="s">
        <v>19</v>
      </c>
      <c r="M582" s="1" t="s">
        <v>20</v>
      </c>
      <c r="N582" s="1">
        <v>3.3</v>
      </c>
    </row>
    <row r="583" spans="1:14" x14ac:dyDescent="0.3">
      <c r="A583" s="1" t="s">
        <v>1194</v>
      </c>
      <c r="B583" s="1" t="s">
        <v>1195</v>
      </c>
      <c r="C583" s="1">
        <v>70</v>
      </c>
      <c r="D583" s="1" t="s">
        <v>16</v>
      </c>
      <c r="E583" s="1" t="s">
        <v>29</v>
      </c>
      <c r="F583" s="1" t="s">
        <v>39</v>
      </c>
      <c r="G583" s="9">
        <v>1146049.83</v>
      </c>
      <c r="H583" s="1">
        <v>1322096.8500000001</v>
      </c>
      <c r="I583" s="1">
        <v>496</v>
      </c>
      <c r="J583" s="1">
        <v>498</v>
      </c>
      <c r="K583" s="1">
        <v>171554</v>
      </c>
      <c r="L583" s="1" t="s">
        <v>30</v>
      </c>
      <c r="M583" s="1" t="s">
        <v>33</v>
      </c>
      <c r="N583" s="1">
        <v>2.1</v>
      </c>
    </row>
    <row r="584" spans="1:14" x14ac:dyDescent="0.3">
      <c r="A584" s="1" t="s">
        <v>1196</v>
      </c>
      <c r="B584" s="1" t="s">
        <v>1197</v>
      </c>
      <c r="C584" s="1">
        <v>62</v>
      </c>
      <c r="D584" s="1" t="s">
        <v>23</v>
      </c>
      <c r="E584" s="1" t="s">
        <v>17</v>
      </c>
      <c r="F584" s="1" t="s">
        <v>39</v>
      </c>
      <c r="G584" s="9">
        <v>281763.03999999998</v>
      </c>
      <c r="H584" s="1">
        <v>1683814.25</v>
      </c>
      <c r="I584" s="1">
        <v>409</v>
      </c>
      <c r="J584" s="1">
        <v>97</v>
      </c>
      <c r="K584" s="1">
        <v>174502</v>
      </c>
      <c r="L584" s="1" t="s">
        <v>40</v>
      </c>
      <c r="M584" s="1" t="s">
        <v>33</v>
      </c>
      <c r="N584" s="1">
        <v>4.3</v>
      </c>
    </row>
    <row r="585" spans="1:14" x14ac:dyDescent="0.3">
      <c r="A585" s="1" t="s">
        <v>1198</v>
      </c>
      <c r="B585" s="1" t="s">
        <v>1199</v>
      </c>
      <c r="C585" s="1">
        <v>25</v>
      </c>
      <c r="D585" s="1" t="s">
        <v>23</v>
      </c>
      <c r="E585" s="1" t="s">
        <v>55</v>
      </c>
      <c r="F585" s="1" t="s">
        <v>18</v>
      </c>
      <c r="G585" s="9">
        <v>1476996.06</v>
      </c>
      <c r="H585" s="1">
        <v>309038.51</v>
      </c>
      <c r="I585" s="1">
        <v>412</v>
      </c>
      <c r="J585" s="1">
        <v>271</v>
      </c>
      <c r="K585" s="1">
        <v>219598</v>
      </c>
      <c r="L585" s="1" t="s">
        <v>19</v>
      </c>
      <c r="M585" s="1" t="s">
        <v>33</v>
      </c>
      <c r="N585" s="1">
        <v>1.5</v>
      </c>
    </row>
    <row r="586" spans="1:14" x14ac:dyDescent="0.3">
      <c r="A586" s="1" t="s">
        <v>1200</v>
      </c>
      <c r="B586" s="1" t="s">
        <v>1201</v>
      </c>
      <c r="C586" s="1">
        <v>49</v>
      </c>
      <c r="D586" s="1" t="s">
        <v>23</v>
      </c>
      <c r="E586" s="1" t="s">
        <v>24</v>
      </c>
      <c r="F586" s="1" t="s">
        <v>25</v>
      </c>
      <c r="G586" s="9">
        <v>580247.77</v>
      </c>
      <c r="H586" s="1">
        <v>1142364.42</v>
      </c>
      <c r="I586" s="1">
        <v>619</v>
      </c>
      <c r="J586" s="1">
        <v>356</v>
      </c>
      <c r="K586" s="1">
        <v>50335</v>
      </c>
      <c r="L586" s="1" t="s">
        <v>26</v>
      </c>
      <c r="M586" s="1" t="s">
        <v>33</v>
      </c>
      <c r="N586" s="1">
        <v>4.9000000000000004</v>
      </c>
    </row>
    <row r="587" spans="1:14" x14ac:dyDescent="0.3">
      <c r="A587" s="1" t="s">
        <v>1202</v>
      </c>
      <c r="B587" s="1" t="s">
        <v>1203</v>
      </c>
      <c r="C587" s="1">
        <v>30</v>
      </c>
      <c r="D587" s="1" t="s">
        <v>16</v>
      </c>
      <c r="E587" s="1" t="s">
        <v>76</v>
      </c>
      <c r="F587" s="1" t="s">
        <v>25</v>
      </c>
      <c r="G587" s="9">
        <v>109065.69</v>
      </c>
      <c r="H587" s="1">
        <v>2102645.69</v>
      </c>
      <c r="I587" s="1">
        <v>787</v>
      </c>
      <c r="J587" s="1">
        <v>485</v>
      </c>
      <c r="K587" s="1">
        <v>244598</v>
      </c>
      <c r="L587" s="1" t="s">
        <v>19</v>
      </c>
      <c r="M587" s="1" t="s">
        <v>33</v>
      </c>
      <c r="N587" s="1">
        <v>3.7</v>
      </c>
    </row>
    <row r="588" spans="1:14" x14ac:dyDescent="0.3">
      <c r="A588" s="1" t="s">
        <v>1204</v>
      </c>
      <c r="B588" s="1" t="s">
        <v>1205</v>
      </c>
      <c r="C588" s="1">
        <v>46</v>
      </c>
      <c r="D588" s="1" t="s">
        <v>16</v>
      </c>
      <c r="E588" s="1" t="s">
        <v>38</v>
      </c>
      <c r="F588" s="1" t="s">
        <v>18</v>
      </c>
      <c r="G588" s="9">
        <v>989529.65</v>
      </c>
      <c r="H588" s="1">
        <v>212514.78</v>
      </c>
      <c r="I588" s="1">
        <v>446</v>
      </c>
      <c r="J588" s="1">
        <v>207</v>
      </c>
      <c r="K588" s="1">
        <v>157012</v>
      </c>
      <c r="L588" s="1" t="s">
        <v>26</v>
      </c>
      <c r="M588" s="1" t="s">
        <v>20</v>
      </c>
      <c r="N588" s="1">
        <v>2.6</v>
      </c>
    </row>
    <row r="589" spans="1:14" x14ac:dyDescent="0.3">
      <c r="A589" s="1" t="s">
        <v>1206</v>
      </c>
      <c r="B589" s="1" t="s">
        <v>1207</v>
      </c>
      <c r="C589" s="1">
        <v>39</v>
      </c>
      <c r="D589" s="1" t="s">
        <v>23</v>
      </c>
      <c r="E589" s="1" t="s">
        <v>55</v>
      </c>
      <c r="F589" s="1" t="s">
        <v>81</v>
      </c>
      <c r="G589" s="9">
        <v>894466.44</v>
      </c>
      <c r="H589" s="1">
        <v>2476653.2999999998</v>
      </c>
      <c r="I589" s="1">
        <v>425</v>
      </c>
      <c r="J589" s="1">
        <v>124</v>
      </c>
      <c r="K589" s="1">
        <v>72497</v>
      </c>
      <c r="L589" s="1" t="s">
        <v>30</v>
      </c>
      <c r="M589" s="1" t="s">
        <v>33</v>
      </c>
      <c r="N589" s="1">
        <v>4.4000000000000004</v>
      </c>
    </row>
    <row r="590" spans="1:14" x14ac:dyDescent="0.3">
      <c r="A590" s="1" t="s">
        <v>1208</v>
      </c>
      <c r="B590" s="1" t="s">
        <v>1209</v>
      </c>
      <c r="C590" s="1">
        <v>48</v>
      </c>
      <c r="D590" s="1" t="s">
        <v>23</v>
      </c>
      <c r="E590" s="1" t="s">
        <v>29</v>
      </c>
      <c r="F590" s="1" t="s">
        <v>18</v>
      </c>
      <c r="G590" s="9">
        <v>906732.32</v>
      </c>
      <c r="H590" s="1">
        <v>1011109</v>
      </c>
      <c r="I590" s="1">
        <v>796</v>
      </c>
      <c r="J590" s="1">
        <v>266</v>
      </c>
      <c r="K590" s="1">
        <v>194765</v>
      </c>
      <c r="L590" s="1" t="s">
        <v>26</v>
      </c>
      <c r="M590" s="1" t="s">
        <v>33</v>
      </c>
      <c r="N590" s="1">
        <v>2.1</v>
      </c>
    </row>
    <row r="591" spans="1:14" x14ac:dyDescent="0.3">
      <c r="A591" s="1" t="s">
        <v>1210</v>
      </c>
      <c r="B591" s="1" t="s">
        <v>1211</v>
      </c>
      <c r="C591" s="1">
        <v>49</v>
      </c>
      <c r="D591" s="1" t="s">
        <v>16</v>
      </c>
      <c r="E591" s="1" t="s">
        <v>45</v>
      </c>
      <c r="F591" s="1" t="s">
        <v>18</v>
      </c>
      <c r="G591" s="9">
        <v>944414.69</v>
      </c>
      <c r="H591" s="1">
        <v>336520.95</v>
      </c>
      <c r="I591" s="1">
        <v>401</v>
      </c>
      <c r="J591" s="1">
        <v>382</v>
      </c>
      <c r="K591" s="1">
        <v>80508</v>
      </c>
      <c r="L591" s="1" t="s">
        <v>40</v>
      </c>
      <c r="M591" s="1" t="s">
        <v>33</v>
      </c>
      <c r="N591" s="1">
        <v>1.2</v>
      </c>
    </row>
    <row r="592" spans="1:14" x14ac:dyDescent="0.3">
      <c r="A592" s="1" t="s">
        <v>1212</v>
      </c>
      <c r="B592" s="1" t="s">
        <v>1213</v>
      </c>
      <c r="C592" s="1">
        <v>56</v>
      </c>
      <c r="D592" s="1" t="s">
        <v>23</v>
      </c>
      <c r="E592" s="1" t="s">
        <v>45</v>
      </c>
      <c r="F592" s="1" t="s">
        <v>39</v>
      </c>
      <c r="G592" s="9">
        <v>493799.05</v>
      </c>
      <c r="H592" s="1">
        <v>756881.53</v>
      </c>
      <c r="I592" s="1">
        <v>398</v>
      </c>
      <c r="J592" s="1">
        <v>394</v>
      </c>
      <c r="K592" s="1">
        <v>198049</v>
      </c>
      <c r="L592" s="1" t="s">
        <v>26</v>
      </c>
      <c r="M592" s="1" t="s">
        <v>33</v>
      </c>
      <c r="N592" s="1">
        <v>1.3</v>
      </c>
    </row>
    <row r="593" spans="1:14" x14ac:dyDescent="0.3">
      <c r="A593" s="1" t="s">
        <v>1214</v>
      </c>
      <c r="B593" s="1" t="s">
        <v>1215</v>
      </c>
      <c r="C593" s="1">
        <v>49</v>
      </c>
      <c r="D593" s="1" t="s">
        <v>16</v>
      </c>
      <c r="E593" s="1" t="s">
        <v>17</v>
      </c>
      <c r="F593" s="1" t="s">
        <v>18</v>
      </c>
      <c r="G593" s="9">
        <v>396189.58</v>
      </c>
      <c r="H593" s="1">
        <v>859039.12</v>
      </c>
      <c r="I593" s="1">
        <v>853</v>
      </c>
      <c r="J593" s="1">
        <v>284</v>
      </c>
      <c r="K593" s="1">
        <v>152328</v>
      </c>
      <c r="L593" s="1" t="s">
        <v>30</v>
      </c>
      <c r="M593" s="1" t="s">
        <v>33</v>
      </c>
      <c r="N593" s="1">
        <v>1.1000000000000001</v>
      </c>
    </row>
    <row r="594" spans="1:14" x14ac:dyDescent="0.3">
      <c r="A594" s="1" t="s">
        <v>1216</v>
      </c>
      <c r="B594" s="1" t="s">
        <v>1217</v>
      </c>
      <c r="C594" s="1">
        <v>38</v>
      </c>
      <c r="D594" s="1" t="s">
        <v>23</v>
      </c>
      <c r="E594" s="1" t="s">
        <v>38</v>
      </c>
      <c r="F594" s="1" t="s">
        <v>25</v>
      </c>
      <c r="G594" s="9">
        <v>567623.16</v>
      </c>
      <c r="H594" s="1">
        <v>1149140.6000000001</v>
      </c>
      <c r="I594" s="1">
        <v>333</v>
      </c>
      <c r="J594" s="1">
        <v>95</v>
      </c>
      <c r="K594" s="1">
        <v>243575</v>
      </c>
      <c r="L594" s="1" t="s">
        <v>30</v>
      </c>
      <c r="M594" s="1" t="s">
        <v>20</v>
      </c>
      <c r="N594" s="1">
        <v>3.2</v>
      </c>
    </row>
    <row r="595" spans="1:14" x14ac:dyDescent="0.3">
      <c r="A595" s="1" t="s">
        <v>1218</v>
      </c>
      <c r="B595" s="1" t="s">
        <v>1219</v>
      </c>
      <c r="C595" s="1">
        <v>37</v>
      </c>
      <c r="D595" s="1" t="s">
        <v>23</v>
      </c>
      <c r="E595" s="1" t="s">
        <v>45</v>
      </c>
      <c r="F595" s="1" t="s">
        <v>39</v>
      </c>
      <c r="G595" s="9">
        <v>586675.32999999996</v>
      </c>
      <c r="H595" s="1">
        <v>1910027.85</v>
      </c>
      <c r="I595" s="1">
        <v>882</v>
      </c>
      <c r="J595" s="1">
        <v>350</v>
      </c>
      <c r="K595" s="1">
        <v>207622</v>
      </c>
      <c r="L595" s="1" t="s">
        <v>19</v>
      </c>
      <c r="M595" s="1" t="s">
        <v>33</v>
      </c>
      <c r="N595" s="1">
        <v>3</v>
      </c>
    </row>
    <row r="596" spans="1:14" x14ac:dyDescent="0.3">
      <c r="A596" s="1" t="s">
        <v>1220</v>
      </c>
      <c r="B596" s="1" t="s">
        <v>1221</v>
      </c>
      <c r="C596" s="1">
        <v>34</v>
      </c>
      <c r="D596" s="1" t="s">
        <v>23</v>
      </c>
      <c r="E596" s="1" t="s">
        <v>76</v>
      </c>
      <c r="F596" s="1" t="s">
        <v>18</v>
      </c>
      <c r="G596" s="9">
        <v>888612.45</v>
      </c>
      <c r="H596" s="1">
        <v>944494.26</v>
      </c>
      <c r="I596" s="1">
        <v>661</v>
      </c>
      <c r="J596" s="1">
        <v>397</v>
      </c>
      <c r="K596" s="1">
        <v>149680</v>
      </c>
      <c r="L596" s="1" t="s">
        <v>19</v>
      </c>
      <c r="M596" s="1" t="s">
        <v>20</v>
      </c>
      <c r="N596" s="1">
        <v>4.9000000000000004</v>
      </c>
    </row>
    <row r="597" spans="1:14" x14ac:dyDescent="0.3">
      <c r="A597" s="1" t="s">
        <v>1222</v>
      </c>
      <c r="B597" s="1" t="s">
        <v>1223</v>
      </c>
      <c r="C597" s="1">
        <v>41</v>
      </c>
      <c r="D597" s="1" t="s">
        <v>23</v>
      </c>
      <c r="E597" s="1" t="s">
        <v>48</v>
      </c>
      <c r="F597" s="1" t="s">
        <v>25</v>
      </c>
      <c r="G597" s="9">
        <v>1215282.3700000001</v>
      </c>
      <c r="H597" s="1">
        <v>1459917.45</v>
      </c>
      <c r="I597" s="1">
        <v>649</v>
      </c>
      <c r="J597" s="1">
        <v>199</v>
      </c>
      <c r="K597" s="1">
        <v>111455</v>
      </c>
      <c r="L597" s="1" t="s">
        <v>26</v>
      </c>
      <c r="M597" s="1" t="s">
        <v>20</v>
      </c>
      <c r="N597" s="1">
        <v>1.4</v>
      </c>
    </row>
    <row r="598" spans="1:14" x14ac:dyDescent="0.3">
      <c r="A598" s="1" t="s">
        <v>1224</v>
      </c>
      <c r="B598" s="1" t="s">
        <v>1225</v>
      </c>
      <c r="C598" s="1">
        <v>60</v>
      </c>
      <c r="D598" s="1" t="s">
        <v>23</v>
      </c>
      <c r="E598" s="1" t="s">
        <v>29</v>
      </c>
      <c r="F598" s="1" t="s">
        <v>81</v>
      </c>
      <c r="G598" s="9">
        <v>375182.83</v>
      </c>
      <c r="H598" s="1">
        <v>1620207.06</v>
      </c>
      <c r="I598" s="1">
        <v>386</v>
      </c>
      <c r="J598" s="1">
        <v>471</v>
      </c>
      <c r="K598" s="1">
        <v>84023</v>
      </c>
      <c r="L598" s="1" t="s">
        <v>40</v>
      </c>
      <c r="M598" s="1" t="s">
        <v>20</v>
      </c>
      <c r="N598" s="1">
        <v>3.8</v>
      </c>
    </row>
    <row r="599" spans="1:14" x14ac:dyDescent="0.3">
      <c r="A599" s="1" t="s">
        <v>1226</v>
      </c>
      <c r="B599" s="1" t="s">
        <v>1227</v>
      </c>
      <c r="C599" s="1">
        <v>52</v>
      </c>
      <c r="D599" s="1" t="s">
        <v>23</v>
      </c>
      <c r="E599" s="1" t="s">
        <v>55</v>
      </c>
      <c r="F599" s="1" t="s">
        <v>18</v>
      </c>
      <c r="G599" s="9">
        <v>60879.54</v>
      </c>
      <c r="H599" s="1">
        <v>1644419.47</v>
      </c>
      <c r="I599" s="1">
        <v>732</v>
      </c>
      <c r="J599" s="1">
        <v>295</v>
      </c>
      <c r="K599" s="1">
        <v>105489</v>
      </c>
      <c r="L599" s="1" t="s">
        <v>30</v>
      </c>
      <c r="M599" s="1" t="s">
        <v>20</v>
      </c>
      <c r="N599" s="1">
        <v>3.1</v>
      </c>
    </row>
    <row r="600" spans="1:14" x14ac:dyDescent="0.3">
      <c r="A600" s="1" t="s">
        <v>1228</v>
      </c>
      <c r="B600" s="1" t="s">
        <v>1189</v>
      </c>
      <c r="C600" s="1">
        <v>38</v>
      </c>
      <c r="D600" s="1" t="s">
        <v>16</v>
      </c>
      <c r="E600" s="1" t="s">
        <v>48</v>
      </c>
      <c r="F600" s="1" t="s">
        <v>25</v>
      </c>
      <c r="G600" s="9">
        <v>857678.54</v>
      </c>
      <c r="H600" s="1">
        <v>806053.42</v>
      </c>
      <c r="I600" s="1">
        <v>400</v>
      </c>
      <c r="J600" s="1">
        <v>418</v>
      </c>
      <c r="K600" s="1">
        <v>119021</v>
      </c>
      <c r="L600" s="1" t="s">
        <v>26</v>
      </c>
      <c r="M600" s="1" t="s">
        <v>20</v>
      </c>
      <c r="N600" s="1">
        <v>3</v>
      </c>
    </row>
    <row r="601" spans="1:14" x14ac:dyDescent="0.3">
      <c r="A601" s="1" t="s">
        <v>1229</v>
      </c>
      <c r="B601" s="1" t="s">
        <v>1230</v>
      </c>
      <c r="C601" s="1">
        <v>57</v>
      </c>
      <c r="D601" s="1" t="s">
        <v>16</v>
      </c>
      <c r="E601" s="1" t="s">
        <v>24</v>
      </c>
      <c r="F601" s="1" t="s">
        <v>81</v>
      </c>
      <c r="G601" s="9">
        <v>548184.79</v>
      </c>
      <c r="H601" s="1">
        <v>1089977.83</v>
      </c>
      <c r="I601" s="1">
        <v>808</v>
      </c>
      <c r="J601" s="1">
        <v>330</v>
      </c>
      <c r="K601" s="1">
        <v>98517</v>
      </c>
      <c r="L601" s="1" t="s">
        <v>26</v>
      </c>
      <c r="M601" s="1" t="s">
        <v>20</v>
      </c>
      <c r="N601" s="1">
        <v>4.4000000000000004</v>
      </c>
    </row>
    <row r="602" spans="1:14" x14ac:dyDescent="0.3">
      <c r="A602" s="1" t="s">
        <v>1231</v>
      </c>
      <c r="B602" s="1" t="s">
        <v>1232</v>
      </c>
      <c r="C602" s="1">
        <v>37</v>
      </c>
      <c r="D602" s="1" t="s">
        <v>16</v>
      </c>
      <c r="E602" s="1" t="s">
        <v>48</v>
      </c>
      <c r="F602" s="1" t="s">
        <v>81</v>
      </c>
      <c r="G602" s="9">
        <v>606030.89</v>
      </c>
      <c r="H602" s="1">
        <v>564714.93999999994</v>
      </c>
      <c r="I602" s="1">
        <v>394</v>
      </c>
      <c r="J602" s="1">
        <v>372</v>
      </c>
      <c r="K602" s="1">
        <v>170345</v>
      </c>
      <c r="L602" s="1" t="s">
        <v>19</v>
      </c>
      <c r="M602" s="1" t="s">
        <v>33</v>
      </c>
      <c r="N602" s="1">
        <v>4.4000000000000004</v>
      </c>
    </row>
    <row r="603" spans="1:14" x14ac:dyDescent="0.3">
      <c r="A603" s="1" t="s">
        <v>1233</v>
      </c>
      <c r="B603" s="1" t="s">
        <v>1234</v>
      </c>
      <c r="C603" s="1">
        <v>45</v>
      </c>
      <c r="D603" s="1" t="s">
        <v>23</v>
      </c>
      <c r="E603" s="1" t="s">
        <v>48</v>
      </c>
      <c r="F603" s="1" t="s">
        <v>39</v>
      </c>
      <c r="G603" s="9">
        <v>524238.15</v>
      </c>
      <c r="H603" s="1">
        <v>191653.98</v>
      </c>
      <c r="I603" s="1">
        <v>609</v>
      </c>
      <c r="J603" s="1">
        <v>263</v>
      </c>
      <c r="K603" s="1">
        <v>74981</v>
      </c>
      <c r="L603" s="1" t="s">
        <v>30</v>
      </c>
      <c r="M603" s="1" t="s">
        <v>33</v>
      </c>
      <c r="N603" s="1">
        <v>4.2</v>
      </c>
    </row>
    <row r="604" spans="1:14" x14ac:dyDescent="0.3">
      <c r="A604" s="1" t="s">
        <v>1235</v>
      </c>
      <c r="B604" s="1" t="s">
        <v>1236</v>
      </c>
      <c r="C604" s="1">
        <v>34</v>
      </c>
      <c r="D604" s="1" t="s">
        <v>16</v>
      </c>
      <c r="E604" s="1" t="s">
        <v>45</v>
      </c>
      <c r="F604" s="1" t="s">
        <v>39</v>
      </c>
      <c r="G604" s="9">
        <v>775477</v>
      </c>
      <c r="H604" s="1">
        <v>1678900.62</v>
      </c>
      <c r="I604" s="1">
        <v>860</v>
      </c>
      <c r="J604" s="1">
        <v>97</v>
      </c>
      <c r="K604" s="1">
        <v>183830</v>
      </c>
      <c r="L604" s="1" t="s">
        <v>30</v>
      </c>
      <c r="M604" s="1" t="s">
        <v>33</v>
      </c>
      <c r="N604" s="1">
        <v>4.5</v>
      </c>
    </row>
    <row r="605" spans="1:14" x14ac:dyDescent="0.3">
      <c r="A605" s="1" t="s">
        <v>1237</v>
      </c>
      <c r="B605" s="1" t="s">
        <v>1238</v>
      </c>
      <c r="C605" s="1">
        <v>58</v>
      </c>
      <c r="D605" s="1" t="s">
        <v>16</v>
      </c>
      <c r="E605" s="1" t="s">
        <v>24</v>
      </c>
      <c r="F605" s="1" t="s">
        <v>81</v>
      </c>
      <c r="G605" s="9">
        <v>1214355.55</v>
      </c>
      <c r="H605" s="1">
        <v>2131936.62</v>
      </c>
      <c r="I605" s="1">
        <v>744</v>
      </c>
      <c r="J605" s="1">
        <v>483</v>
      </c>
      <c r="K605" s="1">
        <v>159649</v>
      </c>
      <c r="L605" s="1" t="s">
        <v>30</v>
      </c>
      <c r="M605" s="1" t="s">
        <v>20</v>
      </c>
      <c r="N605" s="1">
        <v>3.3</v>
      </c>
    </row>
    <row r="606" spans="1:14" x14ac:dyDescent="0.3">
      <c r="A606" s="1" t="s">
        <v>1239</v>
      </c>
      <c r="B606" s="1" t="s">
        <v>1240</v>
      </c>
      <c r="C606" s="1">
        <v>33</v>
      </c>
      <c r="D606" s="1" t="s">
        <v>16</v>
      </c>
      <c r="E606" s="1" t="s">
        <v>24</v>
      </c>
      <c r="F606" s="1" t="s">
        <v>25</v>
      </c>
      <c r="G606" s="9">
        <v>1120918.1100000001</v>
      </c>
      <c r="H606" s="1">
        <v>1913825.2</v>
      </c>
      <c r="I606" s="1">
        <v>745</v>
      </c>
      <c r="J606" s="1">
        <v>215</v>
      </c>
      <c r="K606" s="1">
        <v>59445</v>
      </c>
      <c r="L606" s="1" t="s">
        <v>26</v>
      </c>
      <c r="M606" s="1" t="s">
        <v>33</v>
      </c>
      <c r="N606" s="1">
        <v>2.2999999999999998</v>
      </c>
    </row>
    <row r="607" spans="1:14" x14ac:dyDescent="0.3">
      <c r="A607" s="1" t="s">
        <v>1241</v>
      </c>
      <c r="B607" s="1" t="s">
        <v>1242</v>
      </c>
      <c r="C607" s="1">
        <v>59</v>
      </c>
      <c r="D607" s="1" t="s">
        <v>16</v>
      </c>
      <c r="E607" s="1" t="s">
        <v>76</v>
      </c>
      <c r="F607" s="1" t="s">
        <v>39</v>
      </c>
      <c r="G607" s="9">
        <v>388387.72</v>
      </c>
      <c r="H607" s="1">
        <v>1503080.67</v>
      </c>
      <c r="I607" s="1">
        <v>715</v>
      </c>
      <c r="J607" s="1">
        <v>127</v>
      </c>
      <c r="K607" s="1">
        <v>62096</v>
      </c>
      <c r="L607" s="1" t="s">
        <v>26</v>
      </c>
      <c r="M607" s="1" t="s">
        <v>33</v>
      </c>
      <c r="N607" s="1">
        <v>1.5</v>
      </c>
    </row>
    <row r="608" spans="1:14" x14ac:dyDescent="0.3">
      <c r="A608" s="1" t="s">
        <v>1243</v>
      </c>
      <c r="B608" s="1" t="s">
        <v>1244</v>
      </c>
      <c r="C608" s="1">
        <v>49</v>
      </c>
      <c r="D608" s="1" t="s">
        <v>16</v>
      </c>
      <c r="E608" s="1" t="s">
        <v>76</v>
      </c>
      <c r="F608" s="1" t="s">
        <v>81</v>
      </c>
      <c r="G608" s="9">
        <v>1486983.19</v>
      </c>
      <c r="H608" s="1">
        <v>1055047.82</v>
      </c>
      <c r="I608" s="1">
        <v>337</v>
      </c>
      <c r="J608" s="1">
        <v>108</v>
      </c>
      <c r="K608" s="1">
        <v>166754</v>
      </c>
      <c r="L608" s="1" t="s">
        <v>26</v>
      </c>
      <c r="M608" s="1" t="s">
        <v>20</v>
      </c>
      <c r="N608" s="1">
        <v>1.6</v>
      </c>
    </row>
    <row r="609" spans="1:14" x14ac:dyDescent="0.3">
      <c r="A609" s="1" t="s">
        <v>1245</v>
      </c>
      <c r="B609" s="1" t="s">
        <v>1246</v>
      </c>
      <c r="C609" s="1">
        <v>59</v>
      </c>
      <c r="D609" s="1" t="s">
        <v>16</v>
      </c>
      <c r="E609" s="1" t="s">
        <v>48</v>
      </c>
      <c r="F609" s="1" t="s">
        <v>81</v>
      </c>
      <c r="G609" s="9">
        <v>68137.399999999994</v>
      </c>
      <c r="H609" s="1">
        <v>1806184.99</v>
      </c>
      <c r="I609" s="1">
        <v>320</v>
      </c>
      <c r="J609" s="1">
        <v>33</v>
      </c>
      <c r="K609" s="1">
        <v>243483</v>
      </c>
      <c r="L609" s="1" t="s">
        <v>19</v>
      </c>
      <c r="M609" s="1" t="s">
        <v>33</v>
      </c>
      <c r="N609" s="1">
        <v>4.4000000000000004</v>
      </c>
    </row>
    <row r="610" spans="1:14" x14ac:dyDescent="0.3">
      <c r="A610" s="1" t="s">
        <v>1247</v>
      </c>
      <c r="B610" s="1" t="s">
        <v>1248</v>
      </c>
      <c r="C610" s="1">
        <v>41</v>
      </c>
      <c r="D610" s="1" t="s">
        <v>16</v>
      </c>
      <c r="E610" s="1" t="s">
        <v>55</v>
      </c>
      <c r="F610" s="1" t="s">
        <v>25</v>
      </c>
      <c r="G610" s="9">
        <v>987858.75</v>
      </c>
      <c r="H610" s="1">
        <v>225765.73</v>
      </c>
      <c r="I610" s="1">
        <v>443</v>
      </c>
      <c r="J610" s="1">
        <v>125</v>
      </c>
      <c r="K610" s="1">
        <v>196074</v>
      </c>
      <c r="L610" s="1" t="s">
        <v>19</v>
      </c>
      <c r="M610" s="1" t="s">
        <v>20</v>
      </c>
      <c r="N610" s="1">
        <v>1.4</v>
      </c>
    </row>
    <row r="611" spans="1:14" x14ac:dyDescent="0.3">
      <c r="A611" s="1" t="s">
        <v>1249</v>
      </c>
      <c r="B611" s="1" t="s">
        <v>1250</v>
      </c>
      <c r="C611" s="1">
        <v>56</v>
      </c>
      <c r="D611" s="1" t="s">
        <v>16</v>
      </c>
      <c r="E611" s="1" t="s">
        <v>17</v>
      </c>
      <c r="F611" s="1" t="s">
        <v>39</v>
      </c>
      <c r="G611" s="9">
        <v>1160920.3700000001</v>
      </c>
      <c r="H611" s="1">
        <v>783525.82</v>
      </c>
      <c r="I611" s="1">
        <v>898</v>
      </c>
      <c r="J611" s="1">
        <v>382</v>
      </c>
      <c r="K611" s="1">
        <v>52054</v>
      </c>
      <c r="L611" s="1" t="s">
        <v>40</v>
      </c>
      <c r="M611" s="1" t="s">
        <v>20</v>
      </c>
      <c r="N611" s="1">
        <v>2.6</v>
      </c>
    </row>
    <row r="612" spans="1:14" x14ac:dyDescent="0.3">
      <c r="A612" s="1" t="s">
        <v>1251</v>
      </c>
      <c r="B612" s="1" t="s">
        <v>1252</v>
      </c>
      <c r="C612" s="1">
        <v>29</v>
      </c>
      <c r="D612" s="1" t="s">
        <v>23</v>
      </c>
      <c r="E612" s="1" t="s">
        <v>48</v>
      </c>
      <c r="F612" s="1" t="s">
        <v>18</v>
      </c>
      <c r="G612" s="9">
        <v>1455035.6</v>
      </c>
      <c r="H612" s="1">
        <v>1098688.53</v>
      </c>
      <c r="I612" s="1">
        <v>560</v>
      </c>
      <c r="J612" s="1">
        <v>446</v>
      </c>
      <c r="K612" s="1">
        <v>76127</v>
      </c>
      <c r="L612" s="1" t="s">
        <v>26</v>
      </c>
      <c r="M612" s="1" t="s">
        <v>33</v>
      </c>
      <c r="N612" s="1">
        <v>3.4</v>
      </c>
    </row>
    <row r="613" spans="1:14" x14ac:dyDescent="0.3">
      <c r="A613" s="1" t="s">
        <v>1253</v>
      </c>
      <c r="B613" s="1" t="s">
        <v>1254</v>
      </c>
      <c r="C613" s="1">
        <v>48</v>
      </c>
      <c r="D613" s="1" t="s">
        <v>23</v>
      </c>
      <c r="E613" s="1" t="s">
        <v>55</v>
      </c>
      <c r="F613" s="1" t="s">
        <v>18</v>
      </c>
      <c r="G613" s="9">
        <v>373288.3</v>
      </c>
      <c r="H613" s="1">
        <v>694334.41</v>
      </c>
      <c r="I613" s="1">
        <v>448</v>
      </c>
      <c r="J613" s="1">
        <v>190</v>
      </c>
      <c r="K613" s="1">
        <v>198975</v>
      </c>
      <c r="L613" s="1" t="s">
        <v>19</v>
      </c>
      <c r="M613" s="1" t="s">
        <v>20</v>
      </c>
      <c r="N613" s="1">
        <v>2.9</v>
      </c>
    </row>
    <row r="614" spans="1:14" x14ac:dyDescent="0.3">
      <c r="A614" s="1" t="s">
        <v>1255</v>
      </c>
      <c r="B614" s="1" t="s">
        <v>1256</v>
      </c>
      <c r="C614" s="1">
        <v>62</v>
      </c>
      <c r="D614" s="1" t="s">
        <v>23</v>
      </c>
      <c r="E614" s="1" t="s">
        <v>29</v>
      </c>
      <c r="F614" s="1" t="s">
        <v>39</v>
      </c>
      <c r="G614" s="9">
        <v>1009039.9</v>
      </c>
      <c r="H614" s="1">
        <v>632457.24</v>
      </c>
      <c r="I614" s="1">
        <v>693</v>
      </c>
      <c r="J614" s="1">
        <v>163</v>
      </c>
      <c r="K614" s="1">
        <v>226779</v>
      </c>
      <c r="L614" s="1" t="s">
        <v>30</v>
      </c>
      <c r="M614" s="1" t="s">
        <v>33</v>
      </c>
      <c r="N614" s="1">
        <v>3.6</v>
      </c>
    </row>
    <row r="615" spans="1:14" x14ac:dyDescent="0.3">
      <c r="A615" s="1" t="s">
        <v>1257</v>
      </c>
      <c r="B615" s="1" t="s">
        <v>1258</v>
      </c>
      <c r="C615" s="1">
        <v>18</v>
      </c>
      <c r="D615" s="1" t="s">
        <v>16</v>
      </c>
      <c r="E615" s="1" t="s">
        <v>55</v>
      </c>
      <c r="F615" s="1" t="s">
        <v>39</v>
      </c>
      <c r="G615" s="9">
        <v>1391623.56</v>
      </c>
      <c r="H615" s="1">
        <v>2294816.73</v>
      </c>
      <c r="I615" s="1">
        <v>608</v>
      </c>
      <c r="J615" s="1">
        <v>51</v>
      </c>
      <c r="K615" s="1">
        <v>123016</v>
      </c>
      <c r="L615" s="1" t="s">
        <v>40</v>
      </c>
      <c r="M615" s="1" t="s">
        <v>33</v>
      </c>
      <c r="N615" s="1">
        <v>4.7</v>
      </c>
    </row>
    <row r="616" spans="1:14" x14ac:dyDescent="0.3">
      <c r="A616" s="1" t="s">
        <v>1259</v>
      </c>
      <c r="B616" s="1" t="s">
        <v>1260</v>
      </c>
      <c r="C616" s="1">
        <v>58</v>
      </c>
      <c r="D616" s="1" t="s">
        <v>16</v>
      </c>
      <c r="E616" s="1" t="s">
        <v>45</v>
      </c>
      <c r="F616" s="1" t="s">
        <v>25</v>
      </c>
      <c r="G616" s="9">
        <v>1319803.54</v>
      </c>
      <c r="H616" s="1">
        <v>1916852.25</v>
      </c>
      <c r="I616" s="1">
        <v>716</v>
      </c>
      <c r="J616" s="1">
        <v>409</v>
      </c>
      <c r="K616" s="1">
        <v>103147</v>
      </c>
      <c r="L616" s="1" t="s">
        <v>30</v>
      </c>
      <c r="M616" s="1" t="s">
        <v>33</v>
      </c>
      <c r="N616" s="1">
        <v>1.1000000000000001</v>
      </c>
    </row>
    <row r="617" spans="1:14" x14ac:dyDescent="0.3">
      <c r="A617" s="1" t="s">
        <v>1261</v>
      </c>
      <c r="B617" s="1" t="s">
        <v>1262</v>
      </c>
      <c r="C617" s="1">
        <v>63</v>
      </c>
      <c r="D617" s="1" t="s">
        <v>16</v>
      </c>
      <c r="E617" s="1" t="s">
        <v>48</v>
      </c>
      <c r="F617" s="1" t="s">
        <v>25</v>
      </c>
      <c r="G617" s="9">
        <v>1315758.03</v>
      </c>
      <c r="H617" s="1">
        <v>2050603.28</v>
      </c>
      <c r="I617" s="1">
        <v>464</v>
      </c>
      <c r="J617" s="1">
        <v>362</v>
      </c>
      <c r="K617" s="1">
        <v>130720</v>
      </c>
      <c r="L617" s="1" t="s">
        <v>26</v>
      </c>
      <c r="M617" s="1" t="s">
        <v>33</v>
      </c>
      <c r="N617" s="1">
        <v>2</v>
      </c>
    </row>
    <row r="618" spans="1:14" x14ac:dyDescent="0.3">
      <c r="A618" s="1" t="s">
        <v>1263</v>
      </c>
      <c r="B618" s="1" t="s">
        <v>1264</v>
      </c>
      <c r="C618" s="1">
        <v>62</v>
      </c>
      <c r="D618" s="1" t="s">
        <v>16</v>
      </c>
      <c r="E618" s="1" t="s">
        <v>76</v>
      </c>
      <c r="F618" s="1" t="s">
        <v>25</v>
      </c>
      <c r="G618" s="9">
        <v>1144153.29</v>
      </c>
      <c r="H618" s="1">
        <v>1603431.99</v>
      </c>
      <c r="I618" s="1">
        <v>488</v>
      </c>
      <c r="J618" s="1">
        <v>327</v>
      </c>
      <c r="K618" s="1">
        <v>27169</v>
      </c>
      <c r="L618" s="1" t="s">
        <v>40</v>
      </c>
      <c r="M618" s="1" t="s">
        <v>33</v>
      </c>
      <c r="N618" s="1">
        <v>2.8</v>
      </c>
    </row>
    <row r="619" spans="1:14" x14ac:dyDescent="0.3">
      <c r="A619" s="1" t="s">
        <v>1265</v>
      </c>
      <c r="B619" s="1" t="s">
        <v>1266</v>
      </c>
      <c r="C619" s="1">
        <v>38</v>
      </c>
      <c r="D619" s="1" t="s">
        <v>16</v>
      </c>
      <c r="E619" s="1" t="s">
        <v>17</v>
      </c>
      <c r="F619" s="1" t="s">
        <v>81</v>
      </c>
      <c r="G619" s="9">
        <v>127936.92</v>
      </c>
      <c r="H619" s="1">
        <v>394556.1</v>
      </c>
      <c r="I619" s="1">
        <v>828</v>
      </c>
      <c r="J619" s="1">
        <v>370</v>
      </c>
      <c r="K619" s="1">
        <v>170944</v>
      </c>
      <c r="L619" s="1" t="s">
        <v>30</v>
      </c>
      <c r="M619" s="1" t="s">
        <v>33</v>
      </c>
      <c r="N619" s="1">
        <v>4.9000000000000004</v>
      </c>
    </row>
    <row r="620" spans="1:14" x14ac:dyDescent="0.3">
      <c r="A620" s="1" t="s">
        <v>1267</v>
      </c>
      <c r="B620" s="1" t="s">
        <v>1268</v>
      </c>
      <c r="C620" s="1">
        <v>65</v>
      </c>
      <c r="D620" s="1" t="s">
        <v>16</v>
      </c>
      <c r="E620" s="1" t="s">
        <v>17</v>
      </c>
      <c r="F620" s="1" t="s">
        <v>81</v>
      </c>
      <c r="G620" s="9">
        <v>394716.42</v>
      </c>
      <c r="H620" s="1">
        <v>1718667.18</v>
      </c>
      <c r="I620" s="1">
        <v>635</v>
      </c>
      <c r="J620" s="1">
        <v>414</v>
      </c>
      <c r="K620" s="1">
        <v>54998</v>
      </c>
      <c r="L620" s="1" t="s">
        <v>40</v>
      </c>
      <c r="M620" s="1" t="s">
        <v>33</v>
      </c>
      <c r="N620" s="1">
        <v>2.1</v>
      </c>
    </row>
    <row r="621" spans="1:14" x14ac:dyDescent="0.3">
      <c r="A621" s="1" t="s">
        <v>1269</v>
      </c>
      <c r="B621" s="1" t="s">
        <v>1270</v>
      </c>
      <c r="C621" s="1">
        <v>42</v>
      </c>
      <c r="D621" s="1" t="s">
        <v>16</v>
      </c>
      <c r="E621" s="1" t="s">
        <v>29</v>
      </c>
      <c r="F621" s="1" t="s">
        <v>25</v>
      </c>
      <c r="G621" s="9">
        <v>1327090.44</v>
      </c>
      <c r="H621" s="1">
        <v>561217.82999999996</v>
      </c>
      <c r="I621" s="1">
        <v>323</v>
      </c>
      <c r="J621" s="1">
        <v>477</v>
      </c>
      <c r="K621" s="1">
        <v>238806</v>
      </c>
      <c r="L621" s="1" t="s">
        <v>40</v>
      </c>
      <c r="M621" s="1" t="s">
        <v>33</v>
      </c>
      <c r="N621" s="1">
        <v>3.2</v>
      </c>
    </row>
    <row r="622" spans="1:14" x14ac:dyDescent="0.3">
      <c r="A622" s="1" t="s">
        <v>1271</v>
      </c>
      <c r="B622" s="1" t="s">
        <v>1272</v>
      </c>
      <c r="C622" s="1">
        <v>62</v>
      </c>
      <c r="D622" s="1" t="s">
        <v>16</v>
      </c>
      <c r="E622" s="1" t="s">
        <v>48</v>
      </c>
      <c r="F622" s="1" t="s">
        <v>39</v>
      </c>
      <c r="G622" s="9">
        <v>257290.15</v>
      </c>
      <c r="H622" s="1">
        <v>1002587.28</v>
      </c>
      <c r="I622" s="1">
        <v>739</v>
      </c>
      <c r="J622" s="1">
        <v>312</v>
      </c>
      <c r="K622" s="1">
        <v>243302</v>
      </c>
      <c r="L622" s="1" t="s">
        <v>19</v>
      </c>
      <c r="M622" s="1" t="s">
        <v>20</v>
      </c>
      <c r="N622" s="1">
        <v>2</v>
      </c>
    </row>
    <row r="623" spans="1:14" x14ac:dyDescent="0.3">
      <c r="A623" s="1" t="s">
        <v>1273</v>
      </c>
      <c r="B623" s="1" t="s">
        <v>1274</v>
      </c>
      <c r="C623" s="1">
        <v>63</v>
      </c>
      <c r="D623" s="1" t="s">
        <v>16</v>
      </c>
      <c r="E623" s="1" t="s">
        <v>24</v>
      </c>
      <c r="F623" s="1" t="s">
        <v>39</v>
      </c>
      <c r="G623" s="9">
        <v>655562.31000000006</v>
      </c>
      <c r="H623" s="1">
        <v>2299972.62</v>
      </c>
      <c r="I623" s="1">
        <v>764</v>
      </c>
      <c r="J623" s="1">
        <v>428</v>
      </c>
      <c r="K623" s="1">
        <v>157845</v>
      </c>
      <c r="L623" s="1" t="s">
        <v>40</v>
      </c>
      <c r="M623" s="1" t="s">
        <v>33</v>
      </c>
      <c r="N623" s="1">
        <v>3.7</v>
      </c>
    </row>
    <row r="624" spans="1:14" x14ac:dyDescent="0.3">
      <c r="A624" s="1" t="s">
        <v>1275</v>
      </c>
      <c r="B624" s="1" t="s">
        <v>1276</v>
      </c>
      <c r="C624" s="1">
        <v>36</v>
      </c>
      <c r="D624" s="1" t="s">
        <v>23</v>
      </c>
      <c r="E624" s="1" t="s">
        <v>24</v>
      </c>
      <c r="F624" s="1" t="s">
        <v>25</v>
      </c>
      <c r="G624" s="9">
        <v>743781.4</v>
      </c>
      <c r="H624" s="1">
        <v>325498.33</v>
      </c>
      <c r="I624" s="1">
        <v>511</v>
      </c>
      <c r="J624" s="1">
        <v>312</v>
      </c>
      <c r="K624" s="1">
        <v>215675</v>
      </c>
      <c r="L624" s="1" t="s">
        <v>40</v>
      </c>
      <c r="M624" s="1" t="s">
        <v>33</v>
      </c>
      <c r="N624" s="1">
        <v>1.9</v>
      </c>
    </row>
    <row r="625" spans="1:14" x14ac:dyDescent="0.3">
      <c r="A625" s="1" t="s">
        <v>1277</v>
      </c>
      <c r="B625" s="1" t="s">
        <v>1278</v>
      </c>
      <c r="C625" s="1">
        <v>68</v>
      </c>
      <c r="D625" s="1" t="s">
        <v>16</v>
      </c>
      <c r="E625" s="1" t="s">
        <v>48</v>
      </c>
      <c r="F625" s="1" t="s">
        <v>25</v>
      </c>
      <c r="G625" s="9">
        <v>48015.81</v>
      </c>
      <c r="H625" s="1">
        <v>2440320.41</v>
      </c>
      <c r="I625" s="1">
        <v>541</v>
      </c>
      <c r="J625" s="1">
        <v>321</v>
      </c>
      <c r="K625" s="1">
        <v>58258</v>
      </c>
      <c r="L625" s="1" t="s">
        <v>19</v>
      </c>
      <c r="M625" s="1" t="s">
        <v>20</v>
      </c>
      <c r="N625" s="1">
        <v>2.8</v>
      </c>
    </row>
    <row r="626" spans="1:14" x14ac:dyDescent="0.3">
      <c r="A626" s="1" t="s">
        <v>1279</v>
      </c>
      <c r="B626" s="1" t="s">
        <v>1280</v>
      </c>
      <c r="C626" s="1">
        <v>48</v>
      </c>
      <c r="D626" s="1" t="s">
        <v>23</v>
      </c>
      <c r="E626" s="1" t="s">
        <v>17</v>
      </c>
      <c r="F626" s="1" t="s">
        <v>81</v>
      </c>
      <c r="G626" s="9">
        <v>1307808</v>
      </c>
      <c r="H626" s="1">
        <v>2435997.94</v>
      </c>
      <c r="I626" s="1">
        <v>707</v>
      </c>
      <c r="J626" s="1">
        <v>356</v>
      </c>
      <c r="K626" s="1">
        <v>54918</v>
      </c>
      <c r="L626" s="1" t="s">
        <v>19</v>
      </c>
      <c r="M626" s="1" t="s">
        <v>20</v>
      </c>
      <c r="N626" s="1">
        <v>1.8</v>
      </c>
    </row>
    <row r="627" spans="1:14" x14ac:dyDescent="0.3">
      <c r="A627" s="1" t="s">
        <v>1281</v>
      </c>
      <c r="B627" s="1" t="s">
        <v>1282</v>
      </c>
      <c r="C627" s="1">
        <v>53</v>
      </c>
      <c r="D627" s="1" t="s">
        <v>16</v>
      </c>
      <c r="E627" s="1" t="s">
        <v>76</v>
      </c>
      <c r="F627" s="1" t="s">
        <v>81</v>
      </c>
      <c r="G627" s="9">
        <v>82908.350000000006</v>
      </c>
      <c r="H627" s="1">
        <v>2327661.52</v>
      </c>
      <c r="I627" s="1">
        <v>782</v>
      </c>
      <c r="J627" s="1">
        <v>470</v>
      </c>
      <c r="K627" s="1">
        <v>35401</v>
      </c>
      <c r="L627" s="1" t="s">
        <v>30</v>
      </c>
      <c r="M627" s="1" t="s">
        <v>33</v>
      </c>
      <c r="N627" s="1">
        <v>2.4</v>
      </c>
    </row>
    <row r="628" spans="1:14" x14ac:dyDescent="0.3">
      <c r="A628" s="1" t="s">
        <v>1283</v>
      </c>
      <c r="B628" s="1" t="s">
        <v>1284</v>
      </c>
      <c r="C628" s="1">
        <v>43</v>
      </c>
      <c r="D628" s="1" t="s">
        <v>23</v>
      </c>
      <c r="E628" s="1" t="s">
        <v>38</v>
      </c>
      <c r="F628" s="1" t="s">
        <v>25</v>
      </c>
      <c r="G628" s="9">
        <v>559497.31000000006</v>
      </c>
      <c r="H628" s="1">
        <v>2420144.5299999998</v>
      </c>
      <c r="I628" s="1">
        <v>872</v>
      </c>
      <c r="J628" s="1">
        <v>26</v>
      </c>
      <c r="K628" s="1">
        <v>195967</v>
      </c>
      <c r="L628" s="1" t="s">
        <v>26</v>
      </c>
      <c r="M628" s="1" t="s">
        <v>33</v>
      </c>
      <c r="N628" s="1">
        <v>3.3</v>
      </c>
    </row>
    <row r="629" spans="1:14" x14ac:dyDescent="0.3">
      <c r="A629" s="1" t="s">
        <v>1285</v>
      </c>
      <c r="B629" s="1" t="s">
        <v>1286</v>
      </c>
      <c r="C629" s="1">
        <v>26</v>
      </c>
      <c r="D629" s="1" t="s">
        <v>16</v>
      </c>
      <c r="E629" s="1" t="s">
        <v>38</v>
      </c>
      <c r="F629" s="1" t="s">
        <v>25</v>
      </c>
      <c r="G629" s="9">
        <v>479389.49</v>
      </c>
      <c r="H629" s="1">
        <v>1326059.5</v>
      </c>
      <c r="I629" s="1">
        <v>445</v>
      </c>
      <c r="J629" s="1">
        <v>138</v>
      </c>
      <c r="K629" s="1">
        <v>43500</v>
      </c>
      <c r="L629" s="1" t="s">
        <v>26</v>
      </c>
      <c r="M629" s="1" t="s">
        <v>33</v>
      </c>
      <c r="N629" s="1">
        <v>1.5</v>
      </c>
    </row>
    <row r="630" spans="1:14" x14ac:dyDescent="0.3">
      <c r="A630" s="1" t="s">
        <v>1287</v>
      </c>
      <c r="B630" s="1" t="s">
        <v>1288</v>
      </c>
      <c r="C630" s="1">
        <v>45</v>
      </c>
      <c r="D630" s="1" t="s">
        <v>16</v>
      </c>
      <c r="E630" s="1" t="s">
        <v>48</v>
      </c>
      <c r="F630" s="1" t="s">
        <v>25</v>
      </c>
      <c r="G630" s="9">
        <v>1354675.05</v>
      </c>
      <c r="H630" s="1">
        <v>658040.97</v>
      </c>
      <c r="I630" s="1">
        <v>570</v>
      </c>
      <c r="J630" s="1">
        <v>269</v>
      </c>
      <c r="K630" s="1">
        <v>94167</v>
      </c>
      <c r="L630" s="1" t="s">
        <v>40</v>
      </c>
      <c r="M630" s="1" t="s">
        <v>33</v>
      </c>
      <c r="N630" s="1">
        <v>2.2999999999999998</v>
      </c>
    </row>
    <row r="631" spans="1:14" x14ac:dyDescent="0.3">
      <c r="A631" s="1" t="s">
        <v>1289</v>
      </c>
      <c r="B631" s="1" t="s">
        <v>1290</v>
      </c>
      <c r="C631" s="1">
        <v>21</v>
      </c>
      <c r="D631" s="1" t="s">
        <v>23</v>
      </c>
      <c r="E631" s="1" t="s">
        <v>17</v>
      </c>
      <c r="F631" s="1" t="s">
        <v>18</v>
      </c>
      <c r="G631" s="9">
        <v>227188.11</v>
      </c>
      <c r="H631" s="1">
        <v>574651.36</v>
      </c>
      <c r="I631" s="1">
        <v>336</v>
      </c>
      <c r="J631" s="1">
        <v>245</v>
      </c>
      <c r="K631" s="1">
        <v>69524</v>
      </c>
      <c r="L631" s="1" t="s">
        <v>30</v>
      </c>
      <c r="M631" s="1" t="s">
        <v>20</v>
      </c>
      <c r="N631" s="1">
        <v>2</v>
      </c>
    </row>
    <row r="632" spans="1:14" x14ac:dyDescent="0.3">
      <c r="A632" s="1" t="s">
        <v>1291</v>
      </c>
      <c r="B632" s="1" t="s">
        <v>1292</v>
      </c>
      <c r="C632" s="1">
        <v>46</v>
      </c>
      <c r="D632" s="1" t="s">
        <v>16</v>
      </c>
      <c r="E632" s="1" t="s">
        <v>29</v>
      </c>
      <c r="F632" s="1" t="s">
        <v>81</v>
      </c>
      <c r="G632" s="9">
        <v>1483283.78</v>
      </c>
      <c r="H632" s="1">
        <v>1402136.3</v>
      </c>
      <c r="I632" s="1">
        <v>768</v>
      </c>
      <c r="J632" s="1">
        <v>257</v>
      </c>
      <c r="K632" s="1">
        <v>113459</v>
      </c>
      <c r="L632" s="1" t="s">
        <v>19</v>
      </c>
      <c r="M632" s="1" t="s">
        <v>20</v>
      </c>
      <c r="N632" s="1">
        <v>1.4</v>
      </c>
    </row>
    <row r="633" spans="1:14" x14ac:dyDescent="0.3">
      <c r="A633" s="1" t="s">
        <v>1293</v>
      </c>
      <c r="B633" s="1" t="s">
        <v>1294</v>
      </c>
      <c r="C633" s="1">
        <v>36</v>
      </c>
      <c r="D633" s="1" t="s">
        <v>16</v>
      </c>
      <c r="E633" s="1" t="s">
        <v>76</v>
      </c>
      <c r="F633" s="1" t="s">
        <v>39</v>
      </c>
      <c r="G633" s="9">
        <v>1253255.72</v>
      </c>
      <c r="H633" s="1">
        <v>1874841.63</v>
      </c>
      <c r="I633" s="1">
        <v>579</v>
      </c>
      <c r="J633" s="1">
        <v>293</v>
      </c>
      <c r="K633" s="1">
        <v>67357</v>
      </c>
      <c r="L633" s="1" t="s">
        <v>30</v>
      </c>
      <c r="M633" s="1" t="s">
        <v>20</v>
      </c>
      <c r="N633" s="1">
        <v>4.5999999999999996</v>
      </c>
    </row>
    <row r="634" spans="1:14" x14ac:dyDescent="0.3">
      <c r="A634" s="1" t="s">
        <v>1295</v>
      </c>
      <c r="B634" s="1" t="s">
        <v>1296</v>
      </c>
      <c r="C634" s="1">
        <v>33</v>
      </c>
      <c r="D634" s="1" t="s">
        <v>16</v>
      </c>
      <c r="E634" s="1" t="s">
        <v>17</v>
      </c>
      <c r="F634" s="1" t="s">
        <v>81</v>
      </c>
      <c r="G634" s="9">
        <v>749675.61</v>
      </c>
      <c r="H634" s="1">
        <v>235763.06</v>
      </c>
      <c r="I634" s="1">
        <v>636</v>
      </c>
      <c r="J634" s="1">
        <v>18</v>
      </c>
      <c r="K634" s="1">
        <v>221393</v>
      </c>
      <c r="L634" s="1" t="s">
        <v>19</v>
      </c>
      <c r="M634" s="1" t="s">
        <v>33</v>
      </c>
      <c r="N634" s="1">
        <v>2.1</v>
      </c>
    </row>
    <row r="635" spans="1:14" x14ac:dyDescent="0.3">
      <c r="A635" s="1" t="s">
        <v>1297</v>
      </c>
      <c r="B635" s="1" t="s">
        <v>1298</v>
      </c>
      <c r="C635" s="1">
        <v>27</v>
      </c>
      <c r="D635" s="1" t="s">
        <v>23</v>
      </c>
      <c r="E635" s="1" t="s">
        <v>76</v>
      </c>
      <c r="F635" s="1" t="s">
        <v>81</v>
      </c>
      <c r="G635" s="9">
        <v>126189.54</v>
      </c>
      <c r="H635" s="1">
        <v>2076748.06</v>
      </c>
      <c r="I635" s="1">
        <v>791</v>
      </c>
      <c r="J635" s="1">
        <v>237</v>
      </c>
      <c r="K635" s="1">
        <v>27569</v>
      </c>
      <c r="L635" s="1" t="s">
        <v>19</v>
      </c>
      <c r="M635" s="1" t="s">
        <v>33</v>
      </c>
      <c r="N635" s="1">
        <v>3.5</v>
      </c>
    </row>
    <row r="636" spans="1:14" x14ac:dyDescent="0.3">
      <c r="A636" s="1" t="s">
        <v>1299</v>
      </c>
      <c r="B636" s="1" t="s">
        <v>1300</v>
      </c>
      <c r="C636" s="1">
        <v>38</v>
      </c>
      <c r="D636" s="1" t="s">
        <v>16</v>
      </c>
      <c r="E636" s="1" t="s">
        <v>55</v>
      </c>
      <c r="F636" s="1" t="s">
        <v>81</v>
      </c>
      <c r="G636" s="9">
        <v>1499732.56</v>
      </c>
      <c r="H636" s="1">
        <v>2267195.92</v>
      </c>
      <c r="I636" s="1">
        <v>882</v>
      </c>
      <c r="J636" s="1">
        <v>71</v>
      </c>
      <c r="K636" s="1">
        <v>211770</v>
      </c>
      <c r="L636" s="1" t="s">
        <v>19</v>
      </c>
      <c r="M636" s="1" t="s">
        <v>20</v>
      </c>
      <c r="N636" s="1">
        <v>1.8</v>
      </c>
    </row>
    <row r="637" spans="1:14" x14ac:dyDescent="0.3">
      <c r="A637" s="1" t="s">
        <v>1301</v>
      </c>
      <c r="B637" s="1" t="s">
        <v>1302</v>
      </c>
      <c r="C637" s="1">
        <v>53</v>
      </c>
      <c r="D637" s="1" t="s">
        <v>23</v>
      </c>
      <c r="E637" s="1" t="s">
        <v>29</v>
      </c>
      <c r="F637" s="1" t="s">
        <v>18</v>
      </c>
      <c r="G637" s="9">
        <v>575179.43999999994</v>
      </c>
      <c r="H637" s="1">
        <v>997146.24</v>
      </c>
      <c r="I637" s="1">
        <v>482</v>
      </c>
      <c r="J637" s="1">
        <v>127</v>
      </c>
      <c r="K637" s="1">
        <v>177887</v>
      </c>
      <c r="L637" s="1" t="s">
        <v>40</v>
      </c>
      <c r="M637" s="1" t="s">
        <v>20</v>
      </c>
      <c r="N637" s="1">
        <v>4.9000000000000004</v>
      </c>
    </row>
    <row r="638" spans="1:14" x14ac:dyDescent="0.3">
      <c r="A638" s="1" t="s">
        <v>1303</v>
      </c>
      <c r="B638" s="1" t="s">
        <v>1304</v>
      </c>
      <c r="C638" s="1">
        <v>42</v>
      </c>
      <c r="D638" s="1" t="s">
        <v>23</v>
      </c>
      <c r="E638" s="1" t="s">
        <v>55</v>
      </c>
      <c r="F638" s="1" t="s">
        <v>39</v>
      </c>
      <c r="G638" s="9">
        <v>606582.37</v>
      </c>
      <c r="H638" s="1">
        <v>1617920</v>
      </c>
      <c r="I638" s="1">
        <v>457</v>
      </c>
      <c r="J638" s="1">
        <v>66</v>
      </c>
      <c r="K638" s="1">
        <v>224339</v>
      </c>
      <c r="L638" s="1" t="s">
        <v>26</v>
      </c>
      <c r="M638" s="1" t="s">
        <v>20</v>
      </c>
      <c r="N638" s="1">
        <v>2.2000000000000002</v>
      </c>
    </row>
    <row r="639" spans="1:14" x14ac:dyDescent="0.3">
      <c r="A639" s="1" t="s">
        <v>1305</v>
      </c>
      <c r="B639" s="1" t="s">
        <v>1306</v>
      </c>
      <c r="C639" s="1">
        <v>41</v>
      </c>
      <c r="D639" s="1" t="s">
        <v>23</v>
      </c>
      <c r="E639" s="1" t="s">
        <v>29</v>
      </c>
      <c r="F639" s="1" t="s">
        <v>25</v>
      </c>
      <c r="G639" s="9">
        <v>303807.53000000003</v>
      </c>
      <c r="H639" s="1">
        <v>1113606.04</v>
      </c>
      <c r="I639" s="1">
        <v>697</v>
      </c>
      <c r="J639" s="1">
        <v>248</v>
      </c>
      <c r="K639" s="1">
        <v>154388</v>
      </c>
      <c r="L639" s="1" t="s">
        <v>26</v>
      </c>
      <c r="M639" s="1" t="s">
        <v>20</v>
      </c>
      <c r="N639" s="1">
        <v>2.1</v>
      </c>
    </row>
    <row r="640" spans="1:14" x14ac:dyDescent="0.3">
      <c r="A640" s="1" t="s">
        <v>1307</v>
      </c>
      <c r="B640" s="1" t="s">
        <v>1308</v>
      </c>
      <c r="C640" s="1">
        <v>45</v>
      </c>
      <c r="D640" s="1" t="s">
        <v>16</v>
      </c>
      <c r="E640" s="1" t="s">
        <v>45</v>
      </c>
      <c r="F640" s="1" t="s">
        <v>18</v>
      </c>
      <c r="G640" s="9">
        <v>641895.56000000006</v>
      </c>
      <c r="H640" s="1">
        <v>101095.22</v>
      </c>
      <c r="I640" s="1">
        <v>649</v>
      </c>
      <c r="J640" s="1">
        <v>242</v>
      </c>
      <c r="K640" s="1">
        <v>185330</v>
      </c>
      <c r="L640" s="1" t="s">
        <v>26</v>
      </c>
      <c r="M640" s="1" t="s">
        <v>33</v>
      </c>
      <c r="N640" s="1">
        <v>3.7</v>
      </c>
    </row>
    <row r="641" spans="1:14" x14ac:dyDescent="0.3">
      <c r="A641" s="1" t="s">
        <v>1309</v>
      </c>
      <c r="B641" s="1" t="s">
        <v>1310</v>
      </c>
      <c r="C641" s="1">
        <v>45</v>
      </c>
      <c r="D641" s="1" t="s">
        <v>23</v>
      </c>
      <c r="E641" s="1" t="s">
        <v>24</v>
      </c>
      <c r="F641" s="1" t="s">
        <v>25</v>
      </c>
      <c r="G641" s="9">
        <v>1361275.53</v>
      </c>
      <c r="H641" s="1">
        <v>1194028.4099999999</v>
      </c>
      <c r="I641" s="1">
        <v>452</v>
      </c>
      <c r="J641" s="1">
        <v>70</v>
      </c>
      <c r="K641" s="1">
        <v>40757</v>
      </c>
      <c r="L641" s="1" t="s">
        <v>26</v>
      </c>
      <c r="M641" s="1" t="s">
        <v>20</v>
      </c>
      <c r="N641" s="1">
        <v>3.7</v>
      </c>
    </row>
    <row r="642" spans="1:14" x14ac:dyDescent="0.3">
      <c r="A642" s="1" t="s">
        <v>1311</v>
      </c>
      <c r="B642" s="1" t="s">
        <v>1312</v>
      </c>
      <c r="C642" s="1">
        <v>53</v>
      </c>
      <c r="D642" s="1" t="s">
        <v>23</v>
      </c>
      <c r="E642" s="1" t="s">
        <v>55</v>
      </c>
      <c r="F642" s="1" t="s">
        <v>81</v>
      </c>
      <c r="G642" s="9">
        <v>1376366.51</v>
      </c>
      <c r="H642" s="1">
        <v>1283536.29</v>
      </c>
      <c r="I642" s="1">
        <v>822</v>
      </c>
      <c r="J642" s="1">
        <v>222</v>
      </c>
      <c r="K642" s="1">
        <v>40062</v>
      </c>
      <c r="L642" s="1" t="s">
        <v>26</v>
      </c>
      <c r="M642" s="1" t="s">
        <v>20</v>
      </c>
      <c r="N642" s="1">
        <v>2.7</v>
      </c>
    </row>
    <row r="643" spans="1:14" x14ac:dyDescent="0.3">
      <c r="A643" s="1" t="s">
        <v>1313</v>
      </c>
      <c r="B643" s="1" t="s">
        <v>1314</v>
      </c>
      <c r="C643" s="1">
        <v>67</v>
      </c>
      <c r="D643" s="1" t="s">
        <v>23</v>
      </c>
      <c r="E643" s="1" t="s">
        <v>76</v>
      </c>
      <c r="F643" s="1" t="s">
        <v>18</v>
      </c>
      <c r="G643" s="9">
        <v>29321.7</v>
      </c>
      <c r="H643" s="1">
        <v>1851290.42</v>
      </c>
      <c r="I643" s="1">
        <v>773</v>
      </c>
      <c r="J643" s="1">
        <v>96</v>
      </c>
      <c r="K643" s="1">
        <v>151974</v>
      </c>
      <c r="L643" s="1" t="s">
        <v>30</v>
      </c>
      <c r="M643" s="1" t="s">
        <v>33</v>
      </c>
      <c r="N643" s="1">
        <v>4.0999999999999996</v>
      </c>
    </row>
    <row r="644" spans="1:14" x14ac:dyDescent="0.3">
      <c r="A644" s="1" t="s">
        <v>1315</v>
      </c>
      <c r="B644" s="1" t="s">
        <v>1316</v>
      </c>
      <c r="C644" s="1">
        <v>38</v>
      </c>
      <c r="D644" s="1" t="s">
        <v>23</v>
      </c>
      <c r="E644" s="1" t="s">
        <v>38</v>
      </c>
      <c r="F644" s="1" t="s">
        <v>39</v>
      </c>
      <c r="G644" s="9">
        <v>1087521.55</v>
      </c>
      <c r="H644" s="1">
        <v>1893385.66</v>
      </c>
      <c r="I644" s="1">
        <v>760</v>
      </c>
      <c r="J644" s="1">
        <v>324</v>
      </c>
      <c r="K644" s="1">
        <v>173933</v>
      </c>
      <c r="L644" s="1" t="s">
        <v>40</v>
      </c>
      <c r="M644" s="1" t="s">
        <v>20</v>
      </c>
      <c r="N644" s="1">
        <v>4.2</v>
      </c>
    </row>
    <row r="645" spans="1:14" x14ac:dyDescent="0.3">
      <c r="A645" s="1" t="s">
        <v>1317</v>
      </c>
      <c r="B645" s="1" t="s">
        <v>1318</v>
      </c>
      <c r="C645" s="1">
        <v>65</v>
      </c>
      <c r="D645" s="1" t="s">
        <v>23</v>
      </c>
      <c r="E645" s="1" t="s">
        <v>29</v>
      </c>
      <c r="F645" s="1" t="s">
        <v>18</v>
      </c>
      <c r="G645" s="9">
        <v>392679.92</v>
      </c>
      <c r="H645" s="1">
        <v>1683521.91</v>
      </c>
      <c r="I645" s="1">
        <v>744</v>
      </c>
      <c r="J645" s="1">
        <v>278</v>
      </c>
      <c r="K645" s="1">
        <v>178348</v>
      </c>
      <c r="L645" s="1" t="s">
        <v>40</v>
      </c>
      <c r="M645" s="1" t="s">
        <v>33</v>
      </c>
      <c r="N645" s="1">
        <v>1.1000000000000001</v>
      </c>
    </row>
    <row r="646" spans="1:14" x14ac:dyDescent="0.3">
      <c r="A646" s="1" t="s">
        <v>1319</v>
      </c>
      <c r="B646" s="1" t="s">
        <v>1320</v>
      </c>
      <c r="C646" s="1">
        <v>47</v>
      </c>
      <c r="D646" s="1" t="s">
        <v>23</v>
      </c>
      <c r="E646" s="1" t="s">
        <v>17</v>
      </c>
      <c r="F646" s="1" t="s">
        <v>81</v>
      </c>
      <c r="G646" s="9">
        <v>610611.93999999994</v>
      </c>
      <c r="H646" s="1">
        <v>1644292.73</v>
      </c>
      <c r="I646" s="1">
        <v>798</v>
      </c>
      <c r="J646" s="1">
        <v>160</v>
      </c>
      <c r="K646" s="1">
        <v>201352</v>
      </c>
      <c r="L646" s="1" t="s">
        <v>19</v>
      </c>
      <c r="M646" s="1" t="s">
        <v>20</v>
      </c>
      <c r="N646" s="1">
        <v>3.5</v>
      </c>
    </row>
    <row r="647" spans="1:14" x14ac:dyDescent="0.3">
      <c r="A647" s="1" t="s">
        <v>1321</v>
      </c>
      <c r="B647" s="1" t="s">
        <v>1322</v>
      </c>
      <c r="C647" s="1">
        <v>26</v>
      </c>
      <c r="D647" s="1" t="s">
        <v>23</v>
      </c>
      <c r="E647" s="1" t="s">
        <v>38</v>
      </c>
      <c r="F647" s="1" t="s">
        <v>39</v>
      </c>
      <c r="G647" s="9">
        <v>290249.11</v>
      </c>
      <c r="H647" s="1">
        <v>2039920.56</v>
      </c>
      <c r="I647" s="1">
        <v>492</v>
      </c>
      <c r="J647" s="1">
        <v>444</v>
      </c>
      <c r="K647" s="1">
        <v>23637</v>
      </c>
      <c r="L647" s="1" t="s">
        <v>30</v>
      </c>
      <c r="M647" s="1" t="s">
        <v>20</v>
      </c>
      <c r="N647" s="1">
        <v>1.1000000000000001</v>
      </c>
    </row>
    <row r="648" spans="1:14" x14ac:dyDescent="0.3">
      <c r="A648" s="1" t="s">
        <v>1323</v>
      </c>
      <c r="B648" s="1" t="s">
        <v>1324</v>
      </c>
      <c r="C648" s="1">
        <v>23</v>
      </c>
      <c r="D648" s="1" t="s">
        <v>16</v>
      </c>
      <c r="E648" s="1" t="s">
        <v>45</v>
      </c>
      <c r="F648" s="1" t="s">
        <v>25</v>
      </c>
      <c r="G648" s="9">
        <v>1155733.1100000001</v>
      </c>
      <c r="H648" s="1">
        <v>370414.12</v>
      </c>
      <c r="I648" s="1">
        <v>732</v>
      </c>
      <c r="J648" s="1">
        <v>16</v>
      </c>
      <c r="K648" s="1">
        <v>98883</v>
      </c>
      <c r="L648" s="1" t="s">
        <v>30</v>
      </c>
      <c r="M648" s="1" t="s">
        <v>20</v>
      </c>
      <c r="N648" s="1">
        <v>1.5</v>
      </c>
    </row>
    <row r="649" spans="1:14" x14ac:dyDescent="0.3">
      <c r="A649" s="1" t="s">
        <v>1325</v>
      </c>
      <c r="B649" s="1" t="s">
        <v>1326</v>
      </c>
      <c r="C649" s="1">
        <v>46</v>
      </c>
      <c r="D649" s="1" t="s">
        <v>16</v>
      </c>
      <c r="E649" s="1" t="s">
        <v>17</v>
      </c>
      <c r="F649" s="1" t="s">
        <v>25</v>
      </c>
      <c r="G649" s="9">
        <v>367731.32</v>
      </c>
      <c r="H649" s="1">
        <v>737078.52</v>
      </c>
      <c r="I649" s="1">
        <v>701</v>
      </c>
      <c r="J649" s="1">
        <v>31</v>
      </c>
      <c r="K649" s="1">
        <v>173413</v>
      </c>
      <c r="L649" s="1" t="s">
        <v>30</v>
      </c>
      <c r="M649" s="1" t="s">
        <v>33</v>
      </c>
      <c r="N649" s="1">
        <v>2.2999999999999998</v>
      </c>
    </row>
    <row r="650" spans="1:14" x14ac:dyDescent="0.3">
      <c r="A650" s="1" t="s">
        <v>1327</v>
      </c>
      <c r="B650" s="1" t="s">
        <v>1328</v>
      </c>
      <c r="C650" s="1">
        <v>20</v>
      </c>
      <c r="D650" s="1" t="s">
        <v>16</v>
      </c>
      <c r="E650" s="1" t="s">
        <v>17</v>
      </c>
      <c r="F650" s="1" t="s">
        <v>81</v>
      </c>
      <c r="G650" s="9">
        <v>602522.16</v>
      </c>
      <c r="H650" s="1">
        <v>1283389.3</v>
      </c>
      <c r="I650" s="1">
        <v>799</v>
      </c>
      <c r="J650" s="1">
        <v>123</v>
      </c>
      <c r="K650" s="1">
        <v>147794</v>
      </c>
      <c r="L650" s="1" t="s">
        <v>19</v>
      </c>
      <c r="M650" s="1" t="s">
        <v>33</v>
      </c>
      <c r="N650" s="1">
        <v>3.9</v>
      </c>
    </row>
    <row r="651" spans="1:14" x14ac:dyDescent="0.3">
      <c r="A651" s="1" t="s">
        <v>1329</v>
      </c>
      <c r="B651" s="1" t="s">
        <v>1330</v>
      </c>
      <c r="C651" s="1">
        <v>59</v>
      </c>
      <c r="D651" s="1" t="s">
        <v>16</v>
      </c>
      <c r="E651" s="1" t="s">
        <v>38</v>
      </c>
      <c r="F651" s="1" t="s">
        <v>81</v>
      </c>
      <c r="G651" s="9">
        <v>1334265.19</v>
      </c>
      <c r="H651" s="1">
        <v>292351.84999999998</v>
      </c>
      <c r="I651" s="1">
        <v>655</v>
      </c>
      <c r="J651" s="1">
        <v>234</v>
      </c>
      <c r="K651" s="1">
        <v>129350</v>
      </c>
      <c r="L651" s="1" t="s">
        <v>40</v>
      </c>
      <c r="M651" s="1" t="s">
        <v>33</v>
      </c>
      <c r="N651" s="1">
        <v>3.8</v>
      </c>
    </row>
    <row r="652" spans="1:14" x14ac:dyDescent="0.3">
      <c r="A652" s="1" t="s">
        <v>1331</v>
      </c>
      <c r="B652" s="1" t="s">
        <v>1332</v>
      </c>
      <c r="C652" s="1">
        <v>40</v>
      </c>
      <c r="D652" s="1" t="s">
        <v>23</v>
      </c>
      <c r="E652" s="1" t="s">
        <v>38</v>
      </c>
      <c r="F652" s="1" t="s">
        <v>81</v>
      </c>
      <c r="G652" s="9">
        <v>351994.15</v>
      </c>
      <c r="H652" s="1">
        <v>549255.86</v>
      </c>
      <c r="I652" s="1">
        <v>647</v>
      </c>
      <c r="J652" s="1">
        <v>476</v>
      </c>
      <c r="K652" s="1">
        <v>134848</v>
      </c>
      <c r="L652" s="1" t="s">
        <v>30</v>
      </c>
      <c r="M652" s="1" t="s">
        <v>33</v>
      </c>
      <c r="N652" s="1">
        <v>3.4</v>
      </c>
    </row>
    <row r="653" spans="1:14" x14ac:dyDescent="0.3">
      <c r="A653" s="1" t="s">
        <v>1333</v>
      </c>
      <c r="B653" s="1" t="s">
        <v>1334</v>
      </c>
      <c r="C653" s="1">
        <v>61</v>
      </c>
      <c r="D653" s="1" t="s">
        <v>16</v>
      </c>
      <c r="E653" s="1" t="s">
        <v>45</v>
      </c>
      <c r="F653" s="1" t="s">
        <v>39</v>
      </c>
      <c r="G653" s="9">
        <v>1103204.03</v>
      </c>
      <c r="H653" s="1">
        <v>1989931.66</v>
      </c>
      <c r="I653" s="1">
        <v>465</v>
      </c>
      <c r="J653" s="1">
        <v>323</v>
      </c>
      <c r="K653" s="1">
        <v>191049</v>
      </c>
      <c r="L653" s="1" t="s">
        <v>40</v>
      </c>
      <c r="M653" s="1" t="s">
        <v>20</v>
      </c>
      <c r="N653" s="1">
        <v>1.8</v>
      </c>
    </row>
    <row r="654" spans="1:14" x14ac:dyDescent="0.3">
      <c r="A654" s="1" t="s">
        <v>1335</v>
      </c>
      <c r="B654" s="1" t="s">
        <v>1336</v>
      </c>
      <c r="C654" s="1">
        <v>28</v>
      </c>
      <c r="D654" s="1" t="s">
        <v>16</v>
      </c>
      <c r="E654" s="1" t="s">
        <v>76</v>
      </c>
      <c r="F654" s="1" t="s">
        <v>81</v>
      </c>
      <c r="G654" s="9">
        <v>740817.67</v>
      </c>
      <c r="H654" s="1">
        <v>1983706.14</v>
      </c>
      <c r="I654" s="1">
        <v>805</v>
      </c>
      <c r="J654" s="1">
        <v>160</v>
      </c>
      <c r="K654" s="1">
        <v>178793</v>
      </c>
      <c r="L654" s="1" t="s">
        <v>26</v>
      </c>
      <c r="M654" s="1" t="s">
        <v>33</v>
      </c>
      <c r="N654" s="1">
        <v>1.9</v>
      </c>
    </row>
    <row r="655" spans="1:14" x14ac:dyDescent="0.3">
      <c r="A655" s="1" t="s">
        <v>1337</v>
      </c>
      <c r="B655" s="1" t="s">
        <v>1338</v>
      </c>
      <c r="C655" s="1">
        <v>61</v>
      </c>
      <c r="D655" s="1" t="s">
        <v>23</v>
      </c>
      <c r="E655" s="1" t="s">
        <v>17</v>
      </c>
      <c r="F655" s="1" t="s">
        <v>18</v>
      </c>
      <c r="G655" s="9">
        <v>266198.62</v>
      </c>
      <c r="H655" s="1">
        <v>2148654.1800000002</v>
      </c>
      <c r="I655" s="1">
        <v>815</v>
      </c>
      <c r="J655" s="1">
        <v>21</v>
      </c>
      <c r="K655" s="1">
        <v>61577</v>
      </c>
      <c r="L655" s="1" t="s">
        <v>40</v>
      </c>
      <c r="M655" s="1" t="s">
        <v>20</v>
      </c>
      <c r="N655" s="1">
        <v>4.2</v>
      </c>
    </row>
    <row r="656" spans="1:14" x14ac:dyDescent="0.3">
      <c r="A656" s="1" t="s">
        <v>1339</v>
      </c>
      <c r="B656" s="1" t="s">
        <v>1340</v>
      </c>
      <c r="C656" s="1">
        <v>53</v>
      </c>
      <c r="D656" s="1" t="s">
        <v>23</v>
      </c>
      <c r="E656" s="1" t="s">
        <v>38</v>
      </c>
      <c r="F656" s="1" t="s">
        <v>18</v>
      </c>
      <c r="G656" s="9">
        <v>732116.12</v>
      </c>
      <c r="H656" s="1">
        <v>2484157.0499999998</v>
      </c>
      <c r="I656" s="1">
        <v>663</v>
      </c>
      <c r="J656" s="1">
        <v>398</v>
      </c>
      <c r="K656" s="1">
        <v>78745</v>
      </c>
      <c r="L656" s="1" t="s">
        <v>19</v>
      </c>
      <c r="M656" s="1" t="s">
        <v>33</v>
      </c>
      <c r="N656" s="1">
        <v>1.2</v>
      </c>
    </row>
    <row r="657" spans="1:14" x14ac:dyDescent="0.3">
      <c r="A657" s="1" t="s">
        <v>1341</v>
      </c>
      <c r="B657" s="1" t="s">
        <v>1342</v>
      </c>
      <c r="C657" s="1">
        <v>69</v>
      </c>
      <c r="D657" s="1" t="s">
        <v>16</v>
      </c>
      <c r="E657" s="1" t="s">
        <v>76</v>
      </c>
      <c r="F657" s="1" t="s">
        <v>18</v>
      </c>
      <c r="G657" s="9">
        <v>1444157.43</v>
      </c>
      <c r="H657" s="1">
        <v>1889410.84</v>
      </c>
      <c r="I657" s="1">
        <v>408</v>
      </c>
      <c r="J657" s="1">
        <v>405</v>
      </c>
      <c r="K657" s="1">
        <v>139835</v>
      </c>
      <c r="L657" s="1" t="s">
        <v>40</v>
      </c>
      <c r="M657" s="1" t="s">
        <v>20</v>
      </c>
      <c r="N657" s="1">
        <v>3.4</v>
      </c>
    </row>
    <row r="658" spans="1:14" x14ac:dyDescent="0.3">
      <c r="A658" s="1" t="s">
        <v>1343</v>
      </c>
      <c r="B658" s="1" t="s">
        <v>1344</v>
      </c>
      <c r="C658" s="1">
        <v>31</v>
      </c>
      <c r="D658" s="1" t="s">
        <v>16</v>
      </c>
      <c r="E658" s="1" t="s">
        <v>38</v>
      </c>
      <c r="F658" s="1" t="s">
        <v>81</v>
      </c>
      <c r="G658" s="9">
        <v>239763.66</v>
      </c>
      <c r="H658" s="1">
        <v>730307.47</v>
      </c>
      <c r="I658" s="1">
        <v>752</v>
      </c>
      <c r="J658" s="1">
        <v>395</v>
      </c>
      <c r="K658" s="1">
        <v>114801</v>
      </c>
      <c r="L658" s="1" t="s">
        <v>26</v>
      </c>
      <c r="M658" s="1" t="s">
        <v>20</v>
      </c>
      <c r="N658" s="1">
        <v>3</v>
      </c>
    </row>
    <row r="659" spans="1:14" x14ac:dyDescent="0.3">
      <c r="A659" s="1" t="s">
        <v>1345</v>
      </c>
      <c r="B659" s="1" t="s">
        <v>1346</v>
      </c>
      <c r="C659" s="1">
        <v>25</v>
      </c>
      <c r="D659" s="1" t="s">
        <v>23</v>
      </c>
      <c r="E659" s="1" t="s">
        <v>48</v>
      </c>
      <c r="F659" s="1" t="s">
        <v>81</v>
      </c>
      <c r="G659" s="9">
        <v>306826.03999999998</v>
      </c>
      <c r="H659" s="1">
        <v>2424091.67</v>
      </c>
      <c r="I659" s="1">
        <v>306</v>
      </c>
      <c r="J659" s="1">
        <v>130</v>
      </c>
      <c r="K659" s="1">
        <v>242454</v>
      </c>
      <c r="L659" s="1" t="s">
        <v>40</v>
      </c>
      <c r="M659" s="1" t="s">
        <v>20</v>
      </c>
      <c r="N659" s="1">
        <v>4.3</v>
      </c>
    </row>
    <row r="660" spans="1:14" x14ac:dyDescent="0.3">
      <c r="A660" s="1" t="s">
        <v>1347</v>
      </c>
      <c r="B660" s="1" t="s">
        <v>1348</v>
      </c>
      <c r="C660" s="1">
        <v>35</v>
      </c>
      <c r="D660" s="1" t="s">
        <v>23</v>
      </c>
      <c r="E660" s="1" t="s">
        <v>24</v>
      </c>
      <c r="F660" s="1" t="s">
        <v>39</v>
      </c>
      <c r="G660" s="9">
        <v>1074223.6200000001</v>
      </c>
      <c r="H660" s="1">
        <v>1037521.52</v>
      </c>
      <c r="I660" s="1">
        <v>551</v>
      </c>
      <c r="J660" s="1">
        <v>82</v>
      </c>
      <c r="K660" s="1">
        <v>117631</v>
      </c>
      <c r="L660" s="1" t="s">
        <v>30</v>
      </c>
      <c r="M660" s="1" t="s">
        <v>33</v>
      </c>
      <c r="N660" s="1">
        <v>4</v>
      </c>
    </row>
    <row r="661" spans="1:14" x14ac:dyDescent="0.3">
      <c r="A661" s="1" t="s">
        <v>1349</v>
      </c>
      <c r="B661" s="1" t="s">
        <v>1350</v>
      </c>
      <c r="C661" s="1">
        <v>44</v>
      </c>
      <c r="D661" s="1" t="s">
        <v>16</v>
      </c>
      <c r="E661" s="1" t="s">
        <v>76</v>
      </c>
      <c r="F661" s="1" t="s">
        <v>18</v>
      </c>
      <c r="G661" s="9">
        <v>1428001.61</v>
      </c>
      <c r="H661" s="1">
        <v>1290388.23</v>
      </c>
      <c r="I661" s="1">
        <v>670</v>
      </c>
      <c r="J661" s="1">
        <v>488</v>
      </c>
      <c r="K661" s="1">
        <v>140259</v>
      </c>
      <c r="L661" s="1" t="s">
        <v>19</v>
      </c>
      <c r="M661" s="1" t="s">
        <v>33</v>
      </c>
      <c r="N661" s="1">
        <v>1.1000000000000001</v>
      </c>
    </row>
    <row r="662" spans="1:14" x14ac:dyDescent="0.3">
      <c r="A662" s="1" t="s">
        <v>1351</v>
      </c>
      <c r="B662" s="1" t="s">
        <v>1352</v>
      </c>
      <c r="C662" s="1">
        <v>38</v>
      </c>
      <c r="D662" s="1" t="s">
        <v>16</v>
      </c>
      <c r="E662" s="1" t="s">
        <v>76</v>
      </c>
      <c r="F662" s="1" t="s">
        <v>81</v>
      </c>
      <c r="G662" s="9">
        <v>1473007.66</v>
      </c>
      <c r="H662" s="1">
        <v>410811.7</v>
      </c>
      <c r="I662" s="1">
        <v>362</v>
      </c>
      <c r="J662" s="1">
        <v>206</v>
      </c>
      <c r="K662" s="1">
        <v>125290</v>
      </c>
      <c r="L662" s="1" t="s">
        <v>30</v>
      </c>
      <c r="M662" s="1" t="s">
        <v>33</v>
      </c>
      <c r="N662" s="1">
        <v>4</v>
      </c>
    </row>
    <row r="663" spans="1:14" x14ac:dyDescent="0.3">
      <c r="A663" s="1" t="s">
        <v>1353</v>
      </c>
      <c r="B663" s="1" t="s">
        <v>1354</v>
      </c>
      <c r="C663" s="1">
        <v>61</v>
      </c>
      <c r="D663" s="1" t="s">
        <v>23</v>
      </c>
      <c r="E663" s="1" t="s">
        <v>38</v>
      </c>
      <c r="F663" s="1" t="s">
        <v>25</v>
      </c>
      <c r="G663" s="9">
        <v>832647.59</v>
      </c>
      <c r="H663" s="1">
        <v>760807.56</v>
      </c>
      <c r="I663" s="1">
        <v>621</v>
      </c>
      <c r="J663" s="1">
        <v>470</v>
      </c>
      <c r="K663" s="1">
        <v>203707</v>
      </c>
      <c r="L663" s="1" t="s">
        <v>30</v>
      </c>
      <c r="M663" s="1" t="s">
        <v>20</v>
      </c>
      <c r="N663" s="1">
        <v>2.4</v>
      </c>
    </row>
    <row r="664" spans="1:14" x14ac:dyDescent="0.3">
      <c r="A664" s="1" t="s">
        <v>1355</v>
      </c>
      <c r="B664" s="1" t="s">
        <v>1356</v>
      </c>
      <c r="C664" s="1">
        <v>52</v>
      </c>
      <c r="D664" s="1" t="s">
        <v>23</v>
      </c>
      <c r="E664" s="1" t="s">
        <v>24</v>
      </c>
      <c r="F664" s="1" t="s">
        <v>81</v>
      </c>
      <c r="G664" s="9">
        <v>1183570.6599999999</v>
      </c>
      <c r="H664" s="1">
        <v>1630092.72</v>
      </c>
      <c r="I664" s="1">
        <v>653</v>
      </c>
      <c r="J664" s="1">
        <v>459</v>
      </c>
      <c r="K664" s="1">
        <v>183672</v>
      </c>
      <c r="L664" s="1" t="s">
        <v>19</v>
      </c>
      <c r="M664" s="1" t="s">
        <v>20</v>
      </c>
      <c r="N664" s="1">
        <v>4.2</v>
      </c>
    </row>
    <row r="665" spans="1:14" x14ac:dyDescent="0.3">
      <c r="A665" s="1" t="s">
        <v>1357</v>
      </c>
      <c r="B665" s="1" t="s">
        <v>1358</v>
      </c>
      <c r="C665" s="1">
        <v>52</v>
      </c>
      <c r="D665" s="1" t="s">
        <v>23</v>
      </c>
      <c r="E665" s="1" t="s">
        <v>24</v>
      </c>
      <c r="F665" s="1" t="s">
        <v>18</v>
      </c>
      <c r="G665" s="9">
        <v>588040.34</v>
      </c>
      <c r="H665" s="1">
        <v>1797201.35</v>
      </c>
      <c r="I665" s="1">
        <v>429</v>
      </c>
      <c r="J665" s="1">
        <v>271</v>
      </c>
      <c r="K665" s="1">
        <v>107685</v>
      </c>
      <c r="L665" s="1" t="s">
        <v>26</v>
      </c>
      <c r="M665" s="1" t="s">
        <v>33</v>
      </c>
      <c r="N665" s="1">
        <v>5</v>
      </c>
    </row>
    <row r="666" spans="1:14" x14ac:dyDescent="0.3">
      <c r="A666" s="1" t="s">
        <v>1359</v>
      </c>
      <c r="B666" s="1" t="s">
        <v>1360</v>
      </c>
      <c r="C666" s="1">
        <v>66</v>
      </c>
      <c r="D666" s="1" t="s">
        <v>23</v>
      </c>
      <c r="E666" s="1" t="s">
        <v>17</v>
      </c>
      <c r="F666" s="1" t="s">
        <v>18</v>
      </c>
      <c r="G666" s="9">
        <v>244240.87</v>
      </c>
      <c r="H666" s="1">
        <v>69728.06</v>
      </c>
      <c r="I666" s="1">
        <v>852</v>
      </c>
      <c r="J666" s="1">
        <v>308</v>
      </c>
      <c r="K666" s="1">
        <v>186641</v>
      </c>
      <c r="L666" s="1" t="s">
        <v>19</v>
      </c>
      <c r="M666" s="1" t="s">
        <v>33</v>
      </c>
      <c r="N666" s="1">
        <v>2</v>
      </c>
    </row>
    <row r="667" spans="1:14" x14ac:dyDescent="0.3">
      <c r="A667" s="1" t="s">
        <v>1361</v>
      </c>
      <c r="B667" s="1" t="s">
        <v>1362</v>
      </c>
      <c r="C667" s="1">
        <v>34</v>
      </c>
      <c r="D667" s="1" t="s">
        <v>16</v>
      </c>
      <c r="E667" s="1" t="s">
        <v>45</v>
      </c>
      <c r="F667" s="1" t="s">
        <v>81</v>
      </c>
      <c r="G667" s="9">
        <v>763711.57</v>
      </c>
      <c r="H667" s="1">
        <v>309532.55</v>
      </c>
      <c r="I667" s="1">
        <v>427</v>
      </c>
      <c r="J667" s="1">
        <v>234</v>
      </c>
      <c r="K667" s="1">
        <v>184361</v>
      </c>
      <c r="L667" s="1" t="s">
        <v>40</v>
      </c>
      <c r="M667" s="1" t="s">
        <v>20</v>
      </c>
      <c r="N667" s="1">
        <v>2.2000000000000002</v>
      </c>
    </row>
    <row r="668" spans="1:14" x14ac:dyDescent="0.3">
      <c r="A668" s="1" t="s">
        <v>1363</v>
      </c>
      <c r="B668" s="1" t="s">
        <v>1364</v>
      </c>
      <c r="C668" s="1">
        <v>40</v>
      </c>
      <c r="D668" s="1" t="s">
        <v>23</v>
      </c>
      <c r="E668" s="1" t="s">
        <v>24</v>
      </c>
      <c r="F668" s="1" t="s">
        <v>18</v>
      </c>
      <c r="G668" s="9">
        <v>430380.56</v>
      </c>
      <c r="H668" s="1">
        <v>1961973.16</v>
      </c>
      <c r="I668" s="1">
        <v>886</v>
      </c>
      <c r="J668" s="1">
        <v>349</v>
      </c>
      <c r="K668" s="1">
        <v>98433</v>
      </c>
      <c r="L668" s="1" t="s">
        <v>26</v>
      </c>
      <c r="M668" s="1" t="s">
        <v>20</v>
      </c>
      <c r="N668" s="1">
        <v>1.6</v>
      </c>
    </row>
    <row r="669" spans="1:14" x14ac:dyDescent="0.3">
      <c r="A669" s="1" t="s">
        <v>1365</v>
      </c>
      <c r="B669" s="1" t="s">
        <v>1366</v>
      </c>
      <c r="C669" s="1">
        <v>70</v>
      </c>
      <c r="D669" s="1" t="s">
        <v>16</v>
      </c>
      <c r="E669" s="1" t="s">
        <v>76</v>
      </c>
      <c r="F669" s="1" t="s">
        <v>25</v>
      </c>
      <c r="G669" s="9">
        <v>545094.96</v>
      </c>
      <c r="H669" s="1">
        <v>244969.58</v>
      </c>
      <c r="I669" s="1">
        <v>735</v>
      </c>
      <c r="J669" s="1">
        <v>429</v>
      </c>
      <c r="K669" s="1">
        <v>224092</v>
      </c>
      <c r="L669" s="1" t="s">
        <v>40</v>
      </c>
      <c r="M669" s="1" t="s">
        <v>33</v>
      </c>
      <c r="N669" s="1">
        <v>2.6</v>
      </c>
    </row>
    <row r="670" spans="1:14" x14ac:dyDescent="0.3">
      <c r="A670" s="1" t="s">
        <v>1367</v>
      </c>
      <c r="B670" s="1" t="s">
        <v>1368</v>
      </c>
      <c r="C670" s="1">
        <v>31</v>
      </c>
      <c r="D670" s="1" t="s">
        <v>23</v>
      </c>
      <c r="E670" s="1" t="s">
        <v>55</v>
      </c>
      <c r="F670" s="1" t="s">
        <v>25</v>
      </c>
      <c r="G670" s="9">
        <v>121718.67</v>
      </c>
      <c r="H670" s="1">
        <v>1692056.11</v>
      </c>
      <c r="I670" s="1">
        <v>712</v>
      </c>
      <c r="J670" s="1">
        <v>306</v>
      </c>
      <c r="K670" s="1">
        <v>136959</v>
      </c>
      <c r="L670" s="1" t="s">
        <v>30</v>
      </c>
      <c r="M670" s="1" t="s">
        <v>33</v>
      </c>
      <c r="N670" s="1">
        <v>3.2</v>
      </c>
    </row>
    <row r="671" spans="1:14" x14ac:dyDescent="0.3">
      <c r="A671" s="1" t="s">
        <v>1369</v>
      </c>
      <c r="B671" s="1" t="s">
        <v>1370</v>
      </c>
      <c r="C671" s="1">
        <v>62</v>
      </c>
      <c r="D671" s="1" t="s">
        <v>23</v>
      </c>
      <c r="E671" s="1" t="s">
        <v>45</v>
      </c>
      <c r="F671" s="1" t="s">
        <v>39</v>
      </c>
      <c r="G671" s="9">
        <v>1098916.8600000001</v>
      </c>
      <c r="H671" s="1">
        <v>1042305.88</v>
      </c>
      <c r="I671" s="1">
        <v>466</v>
      </c>
      <c r="J671" s="1">
        <v>78</v>
      </c>
      <c r="K671" s="1">
        <v>148330</v>
      </c>
      <c r="L671" s="1" t="s">
        <v>19</v>
      </c>
      <c r="M671" s="1" t="s">
        <v>20</v>
      </c>
      <c r="N671" s="1">
        <v>3</v>
      </c>
    </row>
    <row r="672" spans="1:14" x14ac:dyDescent="0.3">
      <c r="A672" s="1" t="s">
        <v>1371</v>
      </c>
      <c r="B672" s="1" t="s">
        <v>1372</v>
      </c>
      <c r="C672" s="1">
        <v>47</v>
      </c>
      <c r="D672" s="1" t="s">
        <v>16</v>
      </c>
      <c r="E672" s="1" t="s">
        <v>17</v>
      </c>
      <c r="F672" s="1" t="s">
        <v>18</v>
      </c>
      <c r="G672" s="9">
        <v>53748.05</v>
      </c>
      <c r="H672" s="1">
        <v>392099.25</v>
      </c>
      <c r="I672" s="1">
        <v>872</v>
      </c>
      <c r="J672" s="1">
        <v>194</v>
      </c>
      <c r="K672" s="1">
        <v>144087</v>
      </c>
      <c r="L672" s="1" t="s">
        <v>19</v>
      </c>
      <c r="M672" s="1" t="s">
        <v>33</v>
      </c>
      <c r="N672" s="1">
        <v>4.7</v>
      </c>
    </row>
    <row r="673" spans="1:14" x14ac:dyDescent="0.3">
      <c r="A673" s="1" t="s">
        <v>1373</v>
      </c>
      <c r="B673" s="1" t="s">
        <v>1374</v>
      </c>
      <c r="C673" s="1">
        <v>54</v>
      </c>
      <c r="D673" s="1" t="s">
        <v>23</v>
      </c>
      <c r="E673" s="1" t="s">
        <v>55</v>
      </c>
      <c r="F673" s="1" t="s">
        <v>25</v>
      </c>
      <c r="G673" s="9">
        <v>65221.8</v>
      </c>
      <c r="H673" s="1">
        <v>383261.28</v>
      </c>
      <c r="I673" s="1">
        <v>680</v>
      </c>
      <c r="J673" s="1">
        <v>161</v>
      </c>
      <c r="K673" s="1">
        <v>95914</v>
      </c>
      <c r="L673" s="1" t="s">
        <v>19</v>
      </c>
      <c r="M673" s="1" t="s">
        <v>20</v>
      </c>
      <c r="N673" s="1">
        <v>5</v>
      </c>
    </row>
    <row r="674" spans="1:14" x14ac:dyDescent="0.3">
      <c r="A674" s="1" t="s">
        <v>1375</v>
      </c>
      <c r="B674" s="1" t="s">
        <v>1376</v>
      </c>
      <c r="C674" s="1">
        <v>27</v>
      </c>
      <c r="D674" s="1" t="s">
        <v>16</v>
      </c>
      <c r="E674" s="1" t="s">
        <v>45</v>
      </c>
      <c r="F674" s="1" t="s">
        <v>18</v>
      </c>
      <c r="G674" s="9">
        <v>886488.24</v>
      </c>
      <c r="H674" s="1">
        <v>121627.62</v>
      </c>
      <c r="I674" s="1">
        <v>612</v>
      </c>
      <c r="J674" s="1">
        <v>460</v>
      </c>
      <c r="K674" s="1">
        <v>225466</v>
      </c>
      <c r="L674" s="1" t="s">
        <v>19</v>
      </c>
      <c r="M674" s="1" t="s">
        <v>33</v>
      </c>
      <c r="N674" s="1">
        <v>2.1</v>
      </c>
    </row>
    <row r="675" spans="1:14" x14ac:dyDescent="0.3">
      <c r="A675" s="1" t="s">
        <v>1377</v>
      </c>
      <c r="B675" s="1" t="s">
        <v>1378</v>
      </c>
      <c r="C675" s="1">
        <v>22</v>
      </c>
      <c r="D675" s="1" t="s">
        <v>23</v>
      </c>
      <c r="E675" s="1" t="s">
        <v>17</v>
      </c>
      <c r="F675" s="1" t="s">
        <v>25</v>
      </c>
      <c r="G675" s="9">
        <v>71800.3</v>
      </c>
      <c r="H675" s="1">
        <v>1202941.08</v>
      </c>
      <c r="I675" s="1">
        <v>617</v>
      </c>
      <c r="J675" s="1">
        <v>294</v>
      </c>
      <c r="K675" s="1">
        <v>248177</v>
      </c>
      <c r="L675" s="1" t="s">
        <v>40</v>
      </c>
      <c r="M675" s="1" t="s">
        <v>20</v>
      </c>
      <c r="N675" s="1">
        <v>2.8</v>
      </c>
    </row>
    <row r="676" spans="1:14" x14ac:dyDescent="0.3">
      <c r="A676" s="1" t="s">
        <v>1379</v>
      </c>
      <c r="B676" s="1" t="s">
        <v>1380</v>
      </c>
      <c r="C676" s="1">
        <v>50</v>
      </c>
      <c r="D676" s="1" t="s">
        <v>23</v>
      </c>
      <c r="E676" s="1" t="s">
        <v>29</v>
      </c>
      <c r="F676" s="1" t="s">
        <v>25</v>
      </c>
      <c r="G676" s="9">
        <v>694099.57</v>
      </c>
      <c r="H676" s="1">
        <v>1124823.48</v>
      </c>
      <c r="I676" s="1">
        <v>759</v>
      </c>
      <c r="J676" s="1">
        <v>81</v>
      </c>
      <c r="K676" s="1">
        <v>186844</v>
      </c>
      <c r="L676" s="1" t="s">
        <v>30</v>
      </c>
      <c r="M676" s="1" t="s">
        <v>20</v>
      </c>
      <c r="N676" s="1">
        <v>4.5</v>
      </c>
    </row>
    <row r="677" spans="1:14" x14ac:dyDescent="0.3">
      <c r="A677" s="1" t="s">
        <v>1381</v>
      </c>
      <c r="B677" s="1" t="s">
        <v>1382</v>
      </c>
      <c r="C677" s="1">
        <v>43</v>
      </c>
      <c r="D677" s="1" t="s">
        <v>16</v>
      </c>
      <c r="E677" s="1" t="s">
        <v>38</v>
      </c>
      <c r="F677" s="1" t="s">
        <v>18</v>
      </c>
      <c r="G677" s="9">
        <v>813786.7</v>
      </c>
      <c r="H677" s="1">
        <v>2395198.73</v>
      </c>
      <c r="I677" s="1">
        <v>753</v>
      </c>
      <c r="J677" s="1">
        <v>381</v>
      </c>
      <c r="K677" s="1">
        <v>108866</v>
      </c>
      <c r="L677" s="1" t="s">
        <v>26</v>
      </c>
      <c r="M677" s="1" t="s">
        <v>20</v>
      </c>
      <c r="N677" s="1">
        <v>2.1</v>
      </c>
    </row>
    <row r="678" spans="1:14" x14ac:dyDescent="0.3">
      <c r="A678" s="1" t="s">
        <v>1383</v>
      </c>
      <c r="B678" s="1" t="s">
        <v>1384</v>
      </c>
      <c r="C678" s="1">
        <v>59</v>
      </c>
      <c r="D678" s="1" t="s">
        <v>16</v>
      </c>
      <c r="E678" s="1" t="s">
        <v>45</v>
      </c>
      <c r="F678" s="1" t="s">
        <v>18</v>
      </c>
      <c r="G678" s="9">
        <v>132302.29</v>
      </c>
      <c r="H678" s="1">
        <v>2387920.8199999998</v>
      </c>
      <c r="I678" s="1">
        <v>854</v>
      </c>
      <c r="J678" s="1">
        <v>300</v>
      </c>
      <c r="K678" s="1">
        <v>166630</v>
      </c>
      <c r="L678" s="1" t="s">
        <v>19</v>
      </c>
      <c r="M678" s="1" t="s">
        <v>20</v>
      </c>
      <c r="N678" s="1">
        <v>4</v>
      </c>
    </row>
    <row r="679" spans="1:14" x14ac:dyDescent="0.3">
      <c r="A679" s="1" t="s">
        <v>1385</v>
      </c>
      <c r="B679" s="1" t="s">
        <v>1386</v>
      </c>
      <c r="C679" s="1">
        <v>19</v>
      </c>
      <c r="D679" s="1" t="s">
        <v>23</v>
      </c>
      <c r="E679" s="1" t="s">
        <v>17</v>
      </c>
      <c r="F679" s="1" t="s">
        <v>18</v>
      </c>
      <c r="G679" s="9">
        <v>1181201.78</v>
      </c>
      <c r="H679" s="1">
        <v>613216.74</v>
      </c>
      <c r="I679" s="1">
        <v>893</v>
      </c>
      <c r="J679" s="1">
        <v>232</v>
      </c>
      <c r="K679" s="1">
        <v>92079</v>
      </c>
      <c r="L679" s="1" t="s">
        <v>30</v>
      </c>
      <c r="M679" s="1" t="s">
        <v>20</v>
      </c>
      <c r="N679" s="1">
        <v>1.3</v>
      </c>
    </row>
    <row r="680" spans="1:14" x14ac:dyDescent="0.3">
      <c r="A680" s="1" t="s">
        <v>1387</v>
      </c>
      <c r="B680" s="1" t="s">
        <v>1388</v>
      </c>
      <c r="C680" s="1">
        <v>39</v>
      </c>
      <c r="D680" s="1" t="s">
        <v>16</v>
      </c>
      <c r="E680" s="1" t="s">
        <v>29</v>
      </c>
      <c r="F680" s="1" t="s">
        <v>18</v>
      </c>
      <c r="G680" s="9">
        <v>274859.46999999997</v>
      </c>
      <c r="H680" s="1">
        <v>60142.35</v>
      </c>
      <c r="I680" s="1">
        <v>840</v>
      </c>
      <c r="J680" s="1">
        <v>167</v>
      </c>
      <c r="K680" s="1">
        <v>134561</v>
      </c>
      <c r="L680" s="1" t="s">
        <v>40</v>
      </c>
      <c r="M680" s="1" t="s">
        <v>33</v>
      </c>
      <c r="N680" s="1">
        <v>2.5</v>
      </c>
    </row>
    <row r="681" spans="1:14" x14ac:dyDescent="0.3">
      <c r="A681" s="1" t="s">
        <v>1389</v>
      </c>
      <c r="B681" s="1" t="s">
        <v>1390</v>
      </c>
      <c r="C681" s="1">
        <v>27</v>
      </c>
      <c r="D681" s="1" t="s">
        <v>16</v>
      </c>
      <c r="E681" s="1" t="s">
        <v>76</v>
      </c>
      <c r="F681" s="1" t="s">
        <v>81</v>
      </c>
      <c r="G681" s="9">
        <v>387054.02</v>
      </c>
      <c r="H681" s="1">
        <v>224071.41</v>
      </c>
      <c r="I681" s="1">
        <v>614</v>
      </c>
      <c r="J681" s="1">
        <v>492</v>
      </c>
      <c r="K681" s="1">
        <v>67885</v>
      </c>
      <c r="L681" s="1" t="s">
        <v>40</v>
      </c>
      <c r="M681" s="1" t="s">
        <v>20</v>
      </c>
      <c r="N681" s="1">
        <v>2.6</v>
      </c>
    </row>
    <row r="682" spans="1:14" x14ac:dyDescent="0.3">
      <c r="A682" s="1" t="s">
        <v>1391</v>
      </c>
      <c r="B682" s="1" t="s">
        <v>1392</v>
      </c>
      <c r="C682" s="1">
        <v>63</v>
      </c>
      <c r="D682" s="1" t="s">
        <v>23</v>
      </c>
      <c r="E682" s="1" t="s">
        <v>17</v>
      </c>
      <c r="F682" s="1" t="s">
        <v>18</v>
      </c>
      <c r="G682" s="9">
        <v>450546.38</v>
      </c>
      <c r="H682" s="1">
        <v>246860.54</v>
      </c>
      <c r="I682" s="1">
        <v>445</v>
      </c>
      <c r="J682" s="1">
        <v>216</v>
      </c>
      <c r="K682" s="1">
        <v>35335</v>
      </c>
      <c r="L682" s="1" t="s">
        <v>19</v>
      </c>
      <c r="M682" s="1" t="s">
        <v>20</v>
      </c>
      <c r="N682" s="1">
        <v>4.5999999999999996</v>
      </c>
    </row>
    <row r="683" spans="1:14" x14ac:dyDescent="0.3">
      <c r="A683" s="1" t="s">
        <v>1393</v>
      </c>
      <c r="B683" s="1" t="s">
        <v>1394</v>
      </c>
      <c r="C683" s="1">
        <v>33</v>
      </c>
      <c r="D683" s="1" t="s">
        <v>16</v>
      </c>
      <c r="E683" s="1" t="s">
        <v>55</v>
      </c>
      <c r="F683" s="1" t="s">
        <v>18</v>
      </c>
      <c r="G683" s="9">
        <v>897521.91</v>
      </c>
      <c r="H683" s="1">
        <v>591227.79</v>
      </c>
      <c r="I683" s="1">
        <v>820</v>
      </c>
      <c r="J683" s="1">
        <v>390</v>
      </c>
      <c r="K683" s="1">
        <v>217167</v>
      </c>
      <c r="L683" s="1" t="s">
        <v>26</v>
      </c>
      <c r="M683" s="1" t="s">
        <v>33</v>
      </c>
      <c r="N683" s="1">
        <v>3</v>
      </c>
    </row>
    <row r="684" spans="1:14" x14ac:dyDescent="0.3">
      <c r="A684" s="1" t="s">
        <v>1395</v>
      </c>
      <c r="B684" s="1" t="s">
        <v>1396</v>
      </c>
      <c r="C684" s="1">
        <v>53</v>
      </c>
      <c r="D684" s="1" t="s">
        <v>23</v>
      </c>
      <c r="E684" s="1" t="s">
        <v>29</v>
      </c>
      <c r="F684" s="1" t="s">
        <v>39</v>
      </c>
      <c r="G684" s="9">
        <v>102860.03</v>
      </c>
      <c r="H684" s="1">
        <v>72266.09</v>
      </c>
      <c r="I684" s="1">
        <v>539</v>
      </c>
      <c r="J684" s="1">
        <v>472</v>
      </c>
      <c r="K684" s="1">
        <v>126712</v>
      </c>
      <c r="L684" s="1" t="s">
        <v>40</v>
      </c>
      <c r="M684" s="1" t="s">
        <v>33</v>
      </c>
      <c r="N684" s="1">
        <v>4.5</v>
      </c>
    </row>
    <row r="685" spans="1:14" x14ac:dyDescent="0.3">
      <c r="A685" s="1" t="s">
        <v>1397</v>
      </c>
      <c r="B685" s="1" t="s">
        <v>1398</v>
      </c>
      <c r="C685" s="1">
        <v>54</v>
      </c>
      <c r="D685" s="1" t="s">
        <v>16</v>
      </c>
      <c r="E685" s="1" t="s">
        <v>48</v>
      </c>
      <c r="F685" s="1" t="s">
        <v>39</v>
      </c>
      <c r="G685" s="9">
        <v>671743.47</v>
      </c>
      <c r="H685" s="1">
        <v>2115694.63</v>
      </c>
      <c r="I685" s="1">
        <v>812</v>
      </c>
      <c r="J685" s="1">
        <v>109</v>
      </c>
      <c r="K685" s="1">
        <v>126626</v>
      </c>
      <c r="L685" s="1" t="s">
        <v>40</v>
      </c>
      <c r="M685" s="1" t="s">
        <v>33</v>
      </c>
      <c r="N685" s="1">
        <v>4.0999999999999996</v>
      </c>
    </row>
    <row r="686" spans="1:14" x14ac:dyDescent="0.3">
      <c r="A686" s="1" t="s">
        <v>1399</v>
      </c>
      <c r="B686" s="1" t="s">
        <v>1400</v>
      </c>
      <c r="C686" s="1">
        <v>53</v>
      </c>
      <c r="D686" s="1" t="s">
        <v>16</v>
      </c>
      <c r="E686" s="1" t="s">
        <v>76</v>
      </c>
      <c r="F686" s="1" t="s">
        <v>25</v>
      </c>
      <c r="G686" s="9">
        <v>67479.16</v>
      </c>
      <c r="H686" s="1">
        <v>2031609.29</v>
      </c>
      <c r="I686" s="1">
        <v>596</v>
      </c>
      <c r="J686" s="1">
        <v>339</v>
      </c>
      <c r="K686" s="1">
        <v>138421</v>
      </c>
      <c r="L686" s="1" t="s">
        <v>26</v>
      </c>
      <c r="M686" s="1" t="s">
        <v>33</v>
      </c>
      <c r="N686" s="1">
        <v>4.9000000000000004</v>
      </c>
    </row>
    <row r="687" spans="1:14" x14ac:dyDescent="0.3">
      <c r="A687" s="1" t="s">
        <v>1401</v>
      </c>
      <c r="B687" s="1" t="s">
        <v>1402</v>
      </c>
      <c r="C687" s="1">
        <v>61</v>
      </c>
      <c r="D687" s="1" t="s">
        <v>23</v>
      </c>
      <c r="E687" s="1" t="s">
        <v>76</v>
      </c>
      <c r="F687" s="1" t="s">
        <v>39</v>
      </c>
      <c r="G687" s="9">
        <v>1498866.59</v>
      </c>
      <c r="H687" s="1">
        <v>2106096.6800000002</v>
      </c>
      <c r="I687" s="1">
        <v>517</v>
      </c>
      <c r="J687" s="1">
        <v>304</v>
      </c>
      <c r="K687" s="1">
        <v>119654</v>
      </c>
      <c r="L687" s="1" t="s">
        <v>19</v>
      </c>
      <c r="M687" s="1" t="s">
        <v>33</v>
      </c>
      <c r="N687" s="1">
        <v>4.4000000000000004</v>
      </c>
    </row>
    <row r="688" spans="1:14" x14ac:dyDescent="0.3">
      <c r="A688" s="1" t="s">
        <v>1403</v>
      </c>
      <c r="B688" s="1" t="s">
        <v>1404</v>
      </c>
      <c r="C688" s="1">
        <v>23</v>
      </c>
      <c r="D688" s="1" t="s">
        <v>16</v>
      </c>
      <c r="E688" s="1" t="s">
        <v>48</v>
      </c>
      <c r="F688" s="1" t="s">
        <v>81</v>
      </c>
      <c r="G688" s="9">
        <v>1049151.82</v>
      </c>
      <c r="H688" s="1">
        <v>2076245.27</v>
      </c>
      <c r="I688" s="1">
        <v>869</v>
      </c>
      <c r="J688" s="1">
        <v>148</v>
      </c>
      <c r="K688" s="1">
        <v>123626</v>
      </c>
      <c r="L688" s="1" t="s">
        <v>26</v>
      </c>
      <c r="M688" s="1" t="s">
        <v>33</v>
      </c>
      <c r="N688" s="1">
        <v>4.5</v>
      </c>
    </row>
    <row r="689" spans="1:14" x14ac:dyDescent="0.3">
      <c r="A689" s="1" t="s">
        <v>1405</v>
      </c>
      <c r="B689" s="1" t="s">
        <v>1406</v>
      </c>
      <c r="C689" s="1">
        <v>35</v>
      </c>
      <c r="D689" s="1" t="s">
        <v>23</v>
      </c>
      <c r="E689" s="1" t="s">
        <v>76</v>
      </c>
      <c r="F689" s="1" t="s">
        <v>39</v>
      </c>
      <c r="G689" s="9">
        <v>995104.16</v>
      </c>
      <c r="H689" s="1">
        <v>804095.63</v>
      </c>
      <c r="I689" s="1">
        <v>515</v>
      </c>
      <c r="J689" s="1">
        <v>240</v>
      </c>
      <c r="K689" s="1">
        <v>84468</v>
      </c>
      <c r="L689" s="1" t="s">
        <v>19</v>
      </c>
      <c r="M689" s="1" t="s">
        <v>33</v>
      </c>
      <c r="N689" s="1">
        <v>4.8</v>
      </c>
    </row>
    <row r="690" spans="1:14" x14ac:dyDescent="0.3">
      <c r="A690" s="1" t="s">
        <v>1407</v>
      </c>
      <c r="B690" s="1" t="s">
        <v>1408</v>
      </c>
      <c r="C690" s="1">
        <v>18</v>
      </c>
      <c r="D690" s="1" t="s">
        <v>16</v>
      </c>
      <c r="E690" s="1" t="s">
        <v>29</v>
      </c>
      <c r="F690" s="1" t="s">
        <v>18</v>
      </c>
      <c r="G690" s="9">
        <v>1010696.07</v>
      </c>
      <c r="H690" s="1">
        <v>1032907.58</v>
      </c>
      <c r="I690" s="1">
        <v>800</v>
      </c>
      <c r="J690" s="1">
        <v>395</v>
      </c>
      <c r="K690" s="1">
        <v>22510</v>
      </c>
      <c r="L690" s="1" t="s">
        <v>30</v>
      </c>
      <c r="M690" s="1" t="s">
        <v>20</v>
      </c>
      <c r="N690" s="1">
        <v>2.6</v>
      </c>
    </row>
    <row r="691" spans="1:14" x14ac:dyDescent="0.3">
      <c r="A691" s="1" t="s">
        <v>1409</v>
      </c>
      <c r="B691" s="1" t="s">
        <v>1410</v>
      </c>
      <c r="C691" s="1">
        <v>40</v>
      </c>
      <c r="D691" s="1" t="s">
        <v>16</v>
      </c>
      <c r="E691" s="1" t="s">
        <v>29</v>
      </c>
      <c r="F691" s="1" t="s">
        <v>25</v>
      </c>
      <c r="G691" s="9">
        <v>567682.79</v>
      </c>
      <c r="H691" s="1">
        <v>1503277.19</v>
      </c>
      <c r="I691" s="1">
        <v>696</v>
      </c>
      <c r="J691" s="1">
        <v>95</v>
      </c>
      <c r="K691" s="1">
        <v>233065</v>
      </c>
      <c r="L691" s="1" t="s">
        <v>26</v>
      </c>
      <c r="M691" s="1" t="s">
        <v>20</v>
      </c>
      <c r="N691" s="1">
        <v>4.4000000000000004</v>
      </c>
    </row>
    <row r="692" spans="1:14" x14ac:dyDescent="0.3">
      <c r="A692" s="1" t="s">
        <v>1411</v>
      </c>
      <c r="B692" s="1" t="s">
        <v>1412</v>
      </c>
      <c r="C692" s="1">
        <v>46</v>
      </c>
      <c r="D692" s="1" t="s">
        <v>23</v>
      </c>
      <c r="E692" s="1" t="s">
        <v>24</v>
      </c>
      <c r="F692" s="1" t="s">
        <v>18</v>
      </c>
      <c r="G692" s="9">
        <v>336173.54</v>
      </c>
      <c r="H692" s="1">
        <v>49454.17</v>
      </c>
      <c r="I692" s="1">
        <v>587</v>
      </c>
      <c r="J692" s="1">
        <v>353</v>
      </c>
      <c r="K692" s="1">
        <v>22454</v>
      </c>
      <c r="L692" s="1" t="s">
        <v>26</v>
      </c>
      <c r="M692" s="1" t="s">
        <v>20</v>
      </c>
      <c r="N692" s="1">
        <v>4.7</v>
      </c>
    </row>
    <row r="693" spans="1:14" x14ac:dyDescent="0.3">
      <c r="A693" s="1" t="s">
        <v>1413</v>
      </c>
      <c r="B693" s="1" t="s">
        <v>1414</v>
      </c>
      <c r="C693" s="1">
        <v>32</v>
      </c>
      <c r="D693" s="1" t="s">
        <v>16</v>
      </c>
      <c r="E693" s="1" t="s">
        <v>76</v>
      </c>
      <c r="F693" s="1" t="s">
        <v>39</v>
      </c>
      <c r="G693" s="9">
        <v>1451108.28</v>
      </c>
      <c r="H693" s="1">
        <v>91990.11</v>
      </c>
      <c r="I693" s="1">
        <v>804</v>
      </c>
      <c r="J693" s="1">
        <v>468</v>
      </c>
      <c r="K693" s="1">
        <v>149448</v>
      </c>
      <c r="L693" s="1" t="s">
        <v>30</v>
      </c>
      <c r="M693" s="1" t="s">
        <v>20</v>
      </c>
      <c r="N693" s="1">
        <v>3.8</v>
      </c>
    </row>
    <row r="694" spans="1:14" x14ac:dyDescent="0.3">
      <c r="A694" s="1" t="s">
        <v>1415</v>
      </c>
      <c r="B694" s="1" t="s">
        <v>1416</v>
      </c>
      <c r="C694" s="1">
        <v>35</v>
      </c>
      <c r="D694" s="1" t="s">
        <v>16</v>
      </c>
      <c r="E694" s="1" t="s">
        <v>29</v>
      </c>
      <c r="F694" s="1" t="s">
        <v>39</v>
      </c>
      <c r="G694" s="9">
        <v>752986.83</v>
      </c>
      <c r="H694" s="1">
        <v>426192.74</v>
      </c>
      <c r="I694" s="1">
        <v>498</v>
      </c>
      <c r="J694" s="1">
        <v>342</v>
      </c>
      <c r="K694" s="1">
        <v>169186</v>
      </c>
      <c r="L694" s="1" t="s">
        <v>19</v>
      </c>
      <c r="M694" s="1" t="s">
        <v>20</v>
      </c>
      <c r="N694" s="1">
        <v>4</v>
      </c>
    </row>
    <row r="695" spans="1:14" x14ac:dyDescent="0.3">
      <c r="A695" s="1" t="s">
        <v>1417</v>
      </c>
      <c r="B695" s="1" t="s">
        <v>1418</v>
      </c>
      <c r="C695" s="1">
        <v>34</v>
      </c>
      <c r="D695" s="1" t="s">
        <v>16</v>
      </c>
      <c r="E695" s="1" t="s">
        <v>55</v>
      </c>
      <c r="F695" s="1" t="s">
        <v>25</v>
      </c>
      <c r="G695" s="9">
        <v>1283941.04</v>
      </c>
      <c r="H695" s="1">
        <v>2202507.73</v>
      </c>
      <c r="I695" s="1">
        <v>580</v>
      </c>
      <c r="J695" s="1">
        <v>103</v>
      </c>
      <c r="K695" s="1">
        <v>169396</v>
      </c>
      <c r="L695" s="1" t="s">
        <v>19</v>
      </c>
      <c r="M695" s="1" t="s">
        <v>33</v>
      </c>
      <c r="N695" s="1">
        <v>4.4000000000000004</v>
      </c>
    </row>
    <row r="696" spans="1:14" x14ac:dyDescent="0.3">
      <c r="A696" s="1" t="s">
        <v>1419</v>
      </c>
      <c r="B696" s="1" t="s">
        <v>1420</v>
      </c>
      <c r="C696" s="1">
        <v>59</v>
      </c>
      <c r="D696" s="1" t="s">
        <v>23</v>
      </c>
      <c r="E696" s="1" t="s">
        <v>55</v>
      </c>
      <c r="F696" s="1" t="s">
        <v>18</v>
      </c>
      <c r="G696" s="9">
        <v>1414895.96</v>
      </c>
      <c r="H696" s="1">
        <v>129656.99</v>
      </c>
      <c r="I696" s="1">
        <v>630</v>
      </c>
      <c r="J696" s="1">
        <v>226</v>
      </c>
      <c r="K696" s="1">
        <v>196449</v>
      </c>
      <c r="L696" s="1" t="s">
        <v>30</v>
      </c>
      <c r="M696" s="1" t="s">
        <v>33</v>
      </c>
      <c r="N696" s="1">
        <v>4.4000000000000004</v>
      </c>
    </row>
    <row r="697" spans="1:14" x14ac:dyDescent="0.3">
      <c r="A697" s="1" t="s">
        <v>1421</v>
      </c>
      <c r="B697" s="1" t="s">
        <v>1422</v>
      </c>
      <c r="C697" s="1">
        <v>41</v>
      </c>
      <c r="D697" s="1" t="s">
        <v>23</v>
      </c>
      <c r="E697" s="1" t="s">
        <v>45</v>
      </c>
      <c r="F697" s="1" t="s">
        <v>81</v>
      </c>
      <c r="G697" s="9">
        <v>1139737.46</v>
      </c>
      <c r="H697" s="1">
        <v>2209506.1</v>
      </c>
      <c r="I697" s="1">
        <v>529</v>
      </c>
      <c r="J697" s="1">
        <v>29</v>
      </c>
      <c r="K697" s="1">
        <v>155595</v>
      </c>
      <c r="L697" s="1" t="s">
        <v>19</v>
      </c>
      <c r="M697" s="1" t="s">
        <v>33</v>
      </c>
      <c r="N697" s="1">
        <v>2.1</v>
      </c>
    </row>
    <row r="698" spans="1:14" x14ac:dyDescent="0.3">
      <c r="A698" s="1" t="s">
        <v>1423</v>
      </c>
      <c r="B698" s="1" t="s">
        <v>1424</v>
      </c>
      <c r="C698" s="1">
        <v>30</v>
      </c>
      <c r="D698" s="1" t="s">
        <v>23</v>
      </c>
      <c r="E698" s="1" t="s">
        <v>29</v>
      </c>
      <c r="F698" s="1" t="s">
        <v>39</v>
      </c>
      <c r="G698" s="9">
        <v>127304.31</v>
      </c>
      <c r="H698" s="1">
        <v>1429549.04</v>
      </c>
      <c r="I698" s="1">
        <v>325</v>
      </c>
      <c r="J698" s="1">
        <v>382</v>
      </c>
      <c r="K698" s="1">
        <v>107741</v>
      </c>
      <c r="L698" s="1" t="s">
        <v>40</v>
      </c>
      <c r="M698" s="1" t="s">
        <v>20</v>
      </c>
      <c r="N698" s="1">
        <v>1.9</v>
      </c>
    </row>
    <row r="699" spans="1:14" x14ac:dyDescent="0.3">
      <c r="A699" s="1" t="s">
        <v>1425</v>
      </c>
      <c r="B699" s="1" t="s">
        <v>1426</v>
      </c>
      <c r="C699" s="1">
        <v>39</v>
      </c>
      <c r="D699" s="1" t="s">
        <v>16</v>
      </c>
      <c r="E699" s="1" t="s">
        <v>48</v>
      </c>
      <c r="F699" s="1" t="s">
        <v>81</v>
      </c>
      <c r="G699" s="9">
        <v>98951.97</v>
      </c>
      <c r="H699" s="1">
        <v>1563236.75</v>
      </c>
      <c r="I699" s="1">
        <v>328</v>
      </c>
      <c r="J699" s="1">
        <v>250</v>
      </c>
      <c r="K699" s="1">
        <v>101475</v>
      </c>
      <c r="L699" s="1" t="s">
        <v>40</v>
      </c>
      <c r="M699" s="1" t="s">
        <v>20</v>
      </c>
      <c r="N699" s="1">
        <v>2.7</v>
      </c>
    </row>
    <row r="700" spans="1:14" x14ac:dyDescent="0.3">
      <c r="A700" s="1" t="s">
        <v>1427</v>
      </c>
      <c r="B700" s="1" t="s">
        <v>1428</v>
      </c>
      <c r="C700" s="1">
        <v>48</v>
      </c>
      <c r="D700" s="1" t="s">
        <v>16</v>
      </c>
      <c r="E700" s="1" t="s">
        <v>45</v>
      </c>
      <c r="F700" s="1" t="s">
        <v>18</v>
      </c>
      <c r="G700" s="9">
        <v>1438409.97</v>
      </c>
      <c r="H700" s="1">
        <v>2081293.78</v>
      </c>
      <c r="I700" s="1">
        <v>641</v>
      </c>
      <c r="J700" s="1">
        <v>271</v>
      </c>
      <c r="K700" s="1">
        <v>82484</v>
      </c>
      <c r="L700" s="1" t="s">
        <v>30</v>
      </c>
      <c r="M700" s="1" t="s">
        <v>20</v>
      </c>
      <c r="N700" s="1">
        <v>4.2</v>
      </c>
    </row>
    <row r="701" spans="1:14" x14ac:dyDescent="0.3">
      <c r="A701" s="1" t="s">
        <v>1429</v>
      </c>
      <c r="B701" s="1" t="s">
        <v>1430</v>
      </c>
      <c r="C701" s="1">
        <v>23</v>
      </c>
      <c r="D701" s="1" t="s">
        <v>23</v>
      </c>
      <c r="E701" s="1" t="s">
        <v>76</v>
      </c>
      <c r="F701" s="1" t="s">
        <v>81</v>
      </c>
      <c r="G701" s="9">
        <v>1375488</v>
      </c>
      <c r="H701" s="1">
        <v>943487.83</v>
      </c>
      <c r="I701" s="1">
        <v>366</v>
      </c>
      <c r="J701" s="1">
        <v>405</v>
      </c>
      <c r="K701" s="1">
        <v>35908</v>
      </c>
      <c r="L701" s="1" t="s">
        <v>30</v>
      </c>
      <c r="M701" s="1" t="s">
        <v>20</v>
      </c>
      <c r="N701" s="1">
        <v>1.5</v>
      </c>
    </row>
    <row r="702" spans="1:14" x14ac:dyDescent="0.3">
      <c r="A702" s="1" t="s">
        <v>1431</v>
      </c>
      <c r="B702" s="1" t="s">
        <v>1432</v>
      </c>
      <c r="C702" s="1">
        <v>24</v>
      </c>
      <c r="D702" s="1" t="s">
        <v>23</v>
      </c>
      <c r="E702" s="1" t="s">
        <v>24</v>
      </c>
      <c r="F702" s="1" t="s">
        <v>18</v>
      </c>
      <c r="G702" s="9">
        <v>88405.99</v>
      </c>
      <c r="H702" s="1">
        <v>130507.86</v>
      </c>
      <c r="I702" s="1">
        <v>690</v>
      </c>
      <c r="J702" s="1">
        <v>210</v>
      </c>
      <c r="K702" s="1">
        <v>197619</v>
      </c>
      <c r="L702" s="1" t="s">
        <v>30</v>
      </c>
      <c r="M702" s="1" t="s">
        <v>33</v>
      </c>
      <c r="N702" s="1">
        <v>1.4</v>
      </c>
    </row>
    <row r="703" spans="1:14" x14ac:dyDescent="0.3">
      <c r="A703" s="1" t="s">
        <v>1433</v>
      </c>
      <c r="B703" s="1" t="s">
        <v>1434</v>
      </c>
      <c r="C703" s="1">
        <v>47</v>
      </c>
      <c r="D703" s="1" t="s">
        <v>16</v>
      </c>
      <c r="E703" s="1" t="s">
        <v>45</v>
      </c>
      <c r="F703" s="1" t="s">
        <v>81</v>
      </c>
      <c r="G703" s="9">
        <v>645018.07999999996</v>
      </c>
      <c r="H703" s="1">
        <v>1550526.76</v>
      </c>
      <c r="I703" s="1">
        <v>403</v>
      </c>
      <c r="J703" s="1">
        <v>178</v>
      </c>
      <c r="K703" s="1">
        <v>228447</v>
      </c>
      <c r="L703" s="1" t="s">
        <v>40</v>
      </c>
      <c r="M703" s="1" t="s">
        <v>20</v>
      </c>
      <c r="N703" s="1">
        <v>3.6</v>
      </c>
    </row>
    <row r="704" spans="1:14" x14ac:dyDescent="0.3">
      <c r="A704" s="1" t="s">
        <v>1435</v>
      </c>
      <c r="B704" s="1" t="s">
        <v>1436</v>
      </c>
      <c r="C704" s="1">
        <v>24</v>
      </c>
      <c r="D704" s="1" t="s">
        <v>23</v>
      </c>
      <c r="E704" s="1" t="s">
        <v>48</v>
      </c>
      <c r="F704" s="1" t="s">
        <v>25</v>
      </c>
      <c r="G704" s="9">
        <v>894786.79</v>
      </c>
      <c r="H704" s="1">
        <v>168861.18</v>
      </c>
      <c r="I704" s="1">
        <v>498</v>
      </c>
      <c r="J704" s="1">
        <v>468</v>
      </c>
      <c r="K704" s="1">
        <v>23221</v>
      </c>
      <c r="L704" s="1" t="s">
        <v>30</v>
      </c>
      <c r="M704" s="1" t="s">
        <v>33</v>
      </c>
      <c r="N704" s="1">
        <v>3.3</v>
      </c>
    </row>
    <row r="705" spans="1:14" x14ac:dyDescent="0.3">
      <c r="A705" s="1" t="s">
        <v>1437</v>
      </c>
      <c r="B705" s="1" t="s">
        <v>1438</v>
      </c>
      <c r="C705" s="1">
        <v>29</v>
      </c>
      <c r="D705" s="1" t="s">
        <v>23</v>
      </c>
      <c r="E705" s="1" t="s">
        <v>55</v>
      </c>
      <c r="F705" s="1" t="s">
        <v>39</v>
      </c>
      <c r="G705" s="9">
        <v>210820.7</v>
      </c>
      <c r="H705" s="1">
        <v>110176.97</v>
      </c>
      <c r="I705" s="1">
        <v>430</v>
      </c>
      <c r="J705" s="1">
        <v>164</v>
      </c>
      <c r="K705" s="1">
        <v>83740</v>
      </c>
      <c r="L705" s="1" t="s">
        <v>40</v>
      </c>
      <c r="M705" s="1" t="s">
        <v>33</v>
      </c>
      <c r="N705" s="1">
        <v>3.3</v>
      </c>
    </row>
    <row r="706" spans="1:14" x14ac:dyDescent="0.3">
      <c r="A706" s="1" t="s">
        <v>1439</v>
      </c>
      <c r="B706" s="1" t="s">
        <v>1440</v>
      </c>
      <c r="C706" s="1">
        <v>37</v>
      </c>
      <c r="D706" s="1" t="s">
        <v>16</v>
      </c>
      <c r="E706" s="1" t="s">
        <v>76</v>
      </c>
      <c r="F706" s="1" t="s">
        <v>39</v>
      </c>
      <c r="G706" s="9">
        <v>517635.97</v>
      </c>
      <c r="H706" s="1">
        <v>922074.99</v>
      </c>
      <c r="I706" s="1">
        <v>308</v>
      </c>
      <c r="J706" s="1">
        <v>270</v>
      </c>
      <c r="K706" s="1">
        <v>178159</v>
      </c>
      <c r="L706" s="1" t="s">
        <v>19</v>
      </c>
      <c r="M706" s="1" t="s">
        <v>33</v>
      </c>
      <c r="N706" s="1">
        <v>3.3</v>
      </c>
    </row>
    <row r="707" spans="1:14" x14ac:dyDescent="0.3">
      <c r="A707" s="1" t="s">
        <v>1441</v>
      </c>
      <c r="B707" s="1" t="s">
        <v>1442</v>
      </c>
      <c r="C707" s="1">
        <v>40</v>
      </c>
      <c r="D707" s="1" t="s">
        <v>16</v>
      </c>
      <c r="E707" s="1" t="s">
        <v>45</v>
      </c>
      <c r="F707" s="1" t="s">
        <v>25</v>
      </c>
      <c r="G707" s="9">
        <v>1464883.6</v>
      </c>
      <c r="H707" s="1">
        <v>1601386.98</v>
      </c>
      <c r="I707" s="1">
        <v>506</v>
      </c>
      <c r="J707" s="1">
        <v>407</v>
      </c>
      <c r="K707" s="1">
        <v>71224</v>
      </c>
      <c r="L707" s="1" t="s">
        <v>26</v>
      </c>
      <c r="M707" s="1" t="s">
        <v>33</v>
      </c>
      <c r="N707" s="1">
        <v>1.3</v>
      </c>
    </row>
    <row r="708" spans="1:14" x14ac:dyDescent="0.3">
      <c r="A708" s="1" t="s">
        <v>1443</v>
      </c>
      <c r="B708" s="1" t="s">
        <v>1444</v>
      </c>
      <c r="C708" s="1">
        <v>57</v>
      </c>
      <c r="D708" s="1" t="s">
        <v>16</v>
      </c>
      <c r="E708" s="1" t="s">
        <v>45</v>
      </c>
      <c r="F708" s="1" t="s">
        <v>39</v>
      </c>
      <c r="G708" s="9">
        <v>630949.46</v>
      </c>
      <c r="H708" s="1">
        <v>405699.97</v>
      </c>
      <c r="I708" s="1">
        <v>765</v>
      </c>
      <c r="J708" s="1">
        <v>453</v>
      </c>
      <c r="K708" s="1">
        <v>98546</v>
      </c>
      <c r="L708" s="1" t="s">
        <v>19</v>
      </c>
      <c r="M708" s="1" t="s">
        <v>20</v>
      </c>
      <c r="N708" s="1">
        <v>4.2</v>
      </c>
    </row>
    <row r="709" spans="1:14" x14ac:dyDescent="0.3">
      <c r="A709" s="1" t="s">
        <v>1445</v>
      </c>
      <c r="B709" s="1" t="s">
        <v>1446</v>
      </c>
      <c r="C709" s="1">
        <v>62</v>
      </c>
      <c r="D709" s="1" t="s">
        <v>23</v>
      </c>
      <c r="E709" s="1" t="s">
        <v>17</v>
      </c>
      <c r="F709" s="1" t="s">
        <v>39</v>
      </c>
      <c r="G709" s="9">
        <v>702472.45</v>
      </c>
      <c r="H709" s="1">
        <v>532846.27</v>
      </c>
      <c r="I709" s="1">
        <v>792</v>
      </c>
      <c r="J709" s="1">
        <v>381</v>
      </c>
      <c r="K709" s="1">
        <v>80364</v>
      </c>
      <c r="L709" s="1" t="s">
        <v>30</v>
      </c>
      <c r="M709" s="1" t="s">
        <v>20</v>
      </c>
      <c r="N709" s="1">
        <v>4.0999999999999996</v>
      </c>
    </row>
    <row r="710" spans="1:14" x14ac:dyDescent="0.3">
      <c r="A710" s="1" t="s">
        <v>1447</v>
      </c>
      <c r="B710" s="1" t="s">
        <v>1448</v>
      </c>
      <c r="C710" s="1">
        <v>70</v>
      </c>
      <c r="D710" s="1" t="s">
        <v>23</v>
      </c>
      <c r="E710" s="1" t="s">
        <v>45</v>
      </c>
      <c r="F710" s="1" t="s">
        <v>39</v>
      </c>
      <c r="G710" s="9">
        <v>547411.63</v>
      </c>
      <c r="H710" s="1">
        <v>184327.89</v>
      </c>
      <c r="I710" s="1">
        <v>330</v>
      </c>
      <c r="J710" s="1">
        <v>289</v>
      </c>
      <c r="K710" s="1">
        <v>21763</v>
      </c>
      <c r="L710" s="1" t="s">
        <v>26</v>
      </c>
      <c r="M710" s="1" t="s">
        <v>20</v>
      </c>
      <c r="N710" s="1">
        <v>1.5</v>
      </c>
    </row>
    <row r="711" spans="1:14" x14ac:dyDescent="0.3">
      <c r="A711" s="1" t="s">
        <v>1449</v>
      </c>
      <c r="B711" s="1" t="s">
        <v>1450</v>
      </c>
      <c r="C711" s="1">
        <v>19</v>
      </c>
      <c r="D711" s="1" t="s">
        <v>16</v>
      </c>
      <c r="E711" s="1" t="s">
        <v>38</v>
      </c>
      <c r="F711" s="1" t="s">
        <v>39</v>
      </c>
      <c r="G711" s="9">
        <v>300748.37</v>
      </c>
      <c r="H711" s="1">
        <v>435366.52</v>
      </c>
      <c r="I711" s="1">
        <v>568</v>
      </c>
      <c r="J711" s="1">
        <v>373</v>
      </c>
      <c r="K711" s="1">
        <v>72198</v>
      </c>
      <c r="L711" s="1" t="s">
        <v>19</v>
      </c>
      <c r="M711" s="1" t="s">
        <v>20</v>
      </c>
      <c r="N711" s="1">
        <v>1.7</v>
      </c>
    </row>
    <row r="712" spans="1:14" x14ac:dyDescent="0.3">
      <c r="A712" s="1" t="s">
        <v>1451</v>
      </c>
      <c r="B712" s="1" t="s">
        <v>1452</v>
      </c>
      <c r="C712" s="1">
        <v>34</v>
      </c>
      <c r="D712" s="1" t="s">
        <v>16</v>
      </c>
      <c r="E712" s="1" t="s">
        <v>48</v>
      </c>
      <c r="F712" s="1" t="s">
        <v>39</v>
      </c>
      <c r="G712" s="9">
        <v>36385.67</v>
      </c>
      <c r="H712" s="1">
        <v>1693630.95</v>
      </c>
      <c r="I712" s="1">
        <v>688</v>
      </c>
      <c r="J712" s="1">
        <v>340</v>
      </c>
      <c r="K712" s="1">
        <v>46526</v>
      </c>
      <c r="L712" s="1" t="s">
        <v>26</v>
      </c>
      <c r="M712" s="1" t="s">
        <v>33</v>
      </c>
      <c r="N712" s="1">
        <v>4.0999999999999996</v>
      </c>
    </row>
    <row r="713" spans="1:14" x14ac:dyDescent="0.3">
      <c r="A713" s="1" t="s">
        <v>1453</v>
      </c>
      <c r="B713" s="1" t="s">
        <v>1454</v>
      </c>
      <c r="C713" s="1">
        <v>33</v>
      </c>
      <c r="D713" s="1" t="s">
        <v>23</v>
      </c>
      <c r="E713" s="1" t="s">
        <v>29</v>
      </c>
      <c r="F713" s="1" t="s">
        <v>18</v>
      </c>
      <c r="G713" s="9">
        <v>1215184.22</v>
      </c>
      <c r="H713" s="1">
        <v>1652271.79</v>
      </c>
      <c r="I713" s="1">
        <v>839</v>
      </c>
      <c r="J713" s="1">
        <v>414</v>
      </c>
      <c r="K713" s="1">
        <v>116899</v>
      </c>
      <c r="L713" s="1" t="s">
        <v>40</v>
      </c>
      <c r="M713" s="1" t="s">
        <v>20</v>
      </c>
      <c r="N713" s="1">
        <v>5</v>
      </c>
    </row>
    <row r="714" spans="1:14" x14ac:dyDescent="0.3">
      <c r="A714" s="1" t="s">
        <v>1455</v>
      </c>
      <c r="B714" s="1" t="s">
        <v>1456</v>
      </c>
      <c r="C714" s="1">
        <v>68</v>
      </c>
      <c r="D714" s="1" t="s">
        <v>16</v>
      </c>
      <c r="E714" s="1" t="s">
        <v>76</v>
      </c>
      <c r="F714" s="1" t="s">
        <v>39</v>
      </c>
      <c r="G714" s="9">
        <v>291563.53000000003</v>
      </c>
      <c r="H714" s="1">
        <v>945488.82</v>
      </c>
      <c r="I714" s="1">
        <v>683</v>
      </c>
      <c r="J714" s="1">
        <v>167</v>
      </c>
      <c r="K714" s="1">
        <v>69713</v>
      </c>
      <c r="L714" s="1" t="s">
        <v>26</v>
      </c>
      <c r="M714" s="1" t="s">
        <v>20</v>
      </c>
      <c r="N714" s="1">
        <v>3.4</v>
      </c>
    </row>
    <row r="715" spans="1:14" x14ac:dyDescent="0.3">
      <c r="A715" s="1" t="s">
        <v>1457</v>
      </c>
      <c r="B715" s="1" t="s">
        <v>1458</v>
      </c>
      <c r="C715" s="1">
        <v>38</v>
      </c>
      <c r="D715" s="1" t="s">
        <v>23</v>
      </c>
      <c r="E715" s="1" t="s">
        <v>24</v>
      </c>
      <c r="F715" s="1" t="s">
        <v>18</v>
      </c>
      <c r="G715" s="9">
        <v>84622.17</v>
      </c>
      <c r="H715" s="1">
        <v>1989029.8</v>
      </c>
      <c r="I715" s="1">
        <v>429</v>
      </c>
      <c r="J715" s="1">
        <v>440</v>
      </c>
      <c r="K715" s="1">
        <v>84794</v>
      </c>
      <c r="L715" s="1" t="s">
        <v>30</v>
      </c>
      <c r="M715" s="1" t="s">
        <v>20</v>
      </c>
      <c r="N715" s="1">
        <v>3</v>
      </c>
    </row>
    <row r="716" spans="1:14" x14ac:dyDescent="0.3">
      <c r="A716" s="1" t="s">
        <v>1459</v>
      </c>
      <c r="B716" s="1" t="s">
        <v>1460</v>
      </c>
      <c r="C716" s="1">
        <v>28</v>
      </c>
      <c r="D716" s="1" t="s">
        <v>23</v>
      </c>
      <c r="E716" s="1" t="s">
        <v>38</v>
      </c>
      <c r="F716" s="1" t="s">
        <v>81</v>
      </c>
      <c r="G716" s="9">
        <v>585233.18999999994</v>
      </c>
      <c r="H716" s="1">
        <v>2206055.2200000002</v>
      </c>
      <c r="I716" s="1">
        <v>821</v>
      </c>
      <c r="J716" s="1">
        <v>196</v>
      </c>
      <c r="K716" s="1">
        <v>153330</v>
      </c>
      <c r="L716" s="1" t="s">
        <v>26</v>
      </c>
      <c r="M716" s="1" t="s">
        <v>33</v>
      </c>
      <c r="N716" s="1">
        <v>3</v>
      </c>
    </row>
    <row r="717" spans="1:14" x14ac:dyDescent="0.3">
      <c r="A717" s="1" t="s">
        <v>1461</v>
      </c>
      <c r="B717" s="1" t="s">
        <v>1462</v>
      </c>
      <c r="C717" s="1">
        <v>63</v>
      </c>
      <c r="D717" s="1" t="s">
        <v>16</v>
      </c>
      <c r="E717" s="1" t="s">
        <v>24</v>
      </c>
      <c r="F717" s="1" t="s">
        <v>25</v>
      </c>
      <c r="G717" s="9">
        <v>713268.44</v>
      </c>
      <c r="H717" s="1">
        <v>1452966.71</v>
      </c>
      <c r="I717" s="1">
        <v>897</v>
      </c>
      <c r="J717" s="1">
        <v>337</v>
      </c>
      <c r="K717" s="1">
        <v>149706</v>
      </c>
      <c r="L717" s="1" t="s">
        <v>40</v>
      </c>
      <c r="M717" s="1" t="s">
        <v>33</v>
      </c>
      <c r="N717" s="1">
        <v>1.1000000000000001</v>
      </c>
    </row>
    <row r="718" spans="1:14" x14ac:dyDescent="0.3">
      <c r="A718" s="1" t="s">
        <v>1463</v>
      </c>
      <c r="B718" s="1" t="s">
        <v>1464</v>
      </c>
      <c r="C718" s="1">
        <v>31</v>
      </c>
      <c r="D718" s="1" t="s">
        <v>23</v>
      </c>
      <c r="E718" s="1" t="s">
        <v>29</v>
      </c>
      <c r="F718" s="1" t="s">
        <v>39</v>
      </c>
      <c r="G718" s="9">
        <v>640409.17000000004</v>
      </c>
      <c r="H718" s="1">
        <v>942707.41</v>
      </c>
      <c r="I718" s="1">
        <v>460</v>
      </c>
      <c r="J718" s="1">
        <v>483</v>
      </c>
      <c r="K718" s="1">
        <v>100215</v>
      </c>
      <c r="L718" s="1" t="s">
        <v>19</v>
      </c>
      <c r="M718" s="1" t="s">
        <v>33</v>
      </c>
      <c r="N718" s="1">
        <v>4.4000000000000004</v>
      </c>
    </row>
    <row r="719" spans="1:14" x14ac:dyDescent="0.3">
      <c r="A719" s="1" t="s">
        <v>1465</v>
      </c>
      <c r="B719" s="1" t="s">
        <v>1466</v>
      </c>
      <c r="C719" s="1">
        <v>46</v>
      </c>
      <c r="D719" s="1" t="s">
        <v>23</v>
      </c>
      <c r="E719" s="1" t="s">
        <v>45</v>
      </c>
      <c r="F719" s="1" t="s">
        <v>25</v>
      </c>
      <c r="G719" s="9">
        <v>530604.55000000005</v>
      </c>
      <c r="H719" s="1">
        <v>1459905.56</v>
      </c>
      <c r="I719" s="1">
        <v>776</v>
      </c>
      <c r="J719" s="1">
        <v>267</v>
      </c>
      <c r="K719" s="1">
        <v>156005</v>
      </c>
      <c r="L719" s="1" t="s">
        <v>30</v>
      </c>
      <c r="M719" s="1" t="s">
        <v>33</v>
      </c>
      <c r="N719" s="1">
        <v>3.5</v>
      </c>
    </row>
    <row r="720" spans="1:14" x14ac:dyDescent="0.3">
      <c r="A720" s="1" t="s">
        <v>1467</v>
      </c>
      <c r="B720" s="1" t="s">
        <v>1468</v>
      </c>
      <c r="C720" s="1">
        <v>41</v>
      </c>
      <c r="D720" s="1" t="s">
        <v>23</v>
      </c>
      <c r="E720" s="1" t="s">
        <v>29</v>
      </c>
      <c r="F720" s="1" t="s">
        <v>81</v>
      </c>
      <c r="G720" s="9">
        <v>748826.88</v>
      </c>
      <c r="H720" s="1">
        <v>682548.66</v>
      </c>
      <c r="I720" s="1">
        <v>325</v>
      </c>
      <c r="J720" s="1">
        <v>96</v>
      </c>
      <c r="K720" s="1">
        <v>230896</v>
      </c>
      <c r="L720" s="1" t="s">
        <v>19</v>
      </c>
      <c r="M720" s="1" t="s">
        <v>33</v>
      </c>
      <c r="N720" s="1">
        <v>2.8</v>
      </c>
    </row>
    <row r="721" spans="1:14" x14ac:dyDescent="0.3">
      <c r="A721" s="1" t="s">
        <v>1469</v>
      </c>
      <c r="B721" s="1" t="s">
        <v>1470</v>
      </c>
      <c r="C721" s="1">
        <v>50</v>
      </c>
      <c r="D721" s="1" t="s">
        <v>16</v>
      </c>
      <c r="E721" s="1" t="s">
        <v>29</v>
      </c>
      <c r="F721" s="1" t="s">
        <v>81</v>
      </c>
      <c r="G721" s="9">
        <v>822244.58</v>
      </c>
      <c r="H721" s="1">
        <v>195397.53</v>
      </c>
      <c r="I721" s="1">
        <v>583</v>
      </c>
      <c r="J721" s="1">
        <v>479</v>
      </c>
      <c r="K721" s="1">
        <v>154425</v>
      </c>
      <c r="L721" s="1" t="s">
        <v>19</v>
      </c>
      <c r="M721" s="1" t="s">
        <v>20</v>
      </c>
      <c r="N721" s="1">
        <v>1.9</v>
      </c>
    </row>
    <row r="722" spans="1:14" x14ac:dyDescent="0.3">
      <c r="A722" s="1" t="s">
        <v>1471</v>
      </c>
      <c r="B722" s="1" t="s">
        <v>1472</v>
      </c>
      <c r="C722" s="1">
        <v>39</v>
      </c>
      <c r="D722" s="1" t="s">
        <v>16</v>
      </c>
      <c r="E722" s="1" t="s">
        <v>55</v>
      </c>
      <c r="F722" s="1" t="s">
        <v>18</v>
      </c>
      <c r="G722" s="9">
        <v>1014285.45</v>
      </c>
      <c r="H722" s="1">
        <v>625059.11</v>
      </c>
      <c r="I722" s="1">
        <v>581</v>
      </c>
      <c r="J722" s="1">
        <v>102</v>
      </c>
      <c r="K722" s="1">
        <v>71549</v>
      </c>
      <c r="L722" s="1" t="s">
        <v>26</v>
      </c>
      <c r="M722" s="1" t="s">
        <v>33</v>
      </c>
      <c r="N722" s="1">
        <v>3.8</v>
      </c>
    </row>
    <row r="723" spans="1:14" x14ac:dyDescent="0.3">
      <c r="A723" s="1" t="s">
        <v>1473</v>
      </c>
      <c r="B723" s="1" t="s">
        <v>1474</v>
      </c>
      <c r="C723" s="1">
        <v>70</v>
      </c>
      <c r="D723" s="1" t="s">
        <v>16</v>
      </c>
      <c r="E723" s="1" t="s">
        <v>45</v>
      </c>
      <c r="F723" s="1" t="s">
        <v>39</v>
      </c>
      <c r="G723" s="9">
        <v>1175776.74</v>
      </c>
      <c r="H723" s="1">
        <v>1009527.85</v>
      </c>
      <c r="I723" s="1">
        <v>715</v>
      </c>
      <c r="J723" s="1">
        <v>425</v>
      </c>
      <c r="K723" s="1">
        <v>110867</v>
      </c>
      <c r="L723" s="1" t="s">
        <v>30</v>
      </c>
      <c r="M723" s="1" t="s">
        <v>20</v>
      </c>
      <c r="N723" s="1">
        <v>3.3</v>
      </c>
    </row>
    <row r="724" spans="1:14" x14ac:dyDescent="0.3">
      <c r="A724" s="1" t="s">
        <v>1475</v>
      </c>
      <c r="B724" s="1" t="s">
        <v>1476</v>
      </c>
      <c r="C724" s="1">
        <v>32</v>
      </c>
      <c r="D724" s="1" t="s">
        <v>23</v>
      </c>
      <c r="E724" s="1" t="s">
        <v>45</v>
      </c>
      <c r="F724" s="1" t="s">
        <v>81</v>
      </c>
      <c r="G724" s="9">
        <v>1124959.93</v>
      </c>
      <c r="H724" s="1">
        <v>1186095.6299999999</v>
      </c>
      <c r="I724" s="1">
        <v>828</v>
      </c>
      <c r="J724" s="1">
        <v>305</v>
      </c>
      <c r="K724" s="1">
        <v>209618</v>
      </c>
      <c r="L724" s="1" t="s">
        <v>19</v>
      </c>
      <c r="M724" s="1" t="s">
        <v>33</v>
      </c>
      <c r="N724" s="1">
        <v>4.0999999999999996</v>
      </c>
    </row>
    <row r="725" spans="1:14" x14ac:dyDescent="0.3">
      <c r="A725" s="1" t="s">
        <v>1477</v>
      </c>
      <c r="B725" s="1" t="s">
        <v>1478</v>
      </c>
      <c r="C725" s="1">
        <v>30</v>
      </c>
      <c r="D725" s="1" t="s">
        <v>16</v>
      </c>
      <c r="E725" s="1" t="s">
        <v>48</v>
      </c>
      <c r="F725" s="1" t="s">
        <v>39</v>
      </c>
      <c r="G725" s="9">
        <v>1156345.94</v>
      </c>
      <c r="H725" s="1">
        <v>1744853.17</v>
      </c>
      <c r="I725" s="1">
        <v>514</v>
      </c>
      <c r="J725" s="1">
        <v>229</v>
      </c>
      <c r="K725" s="1">
        <v>132405</v>
      </c>
      <c r="L725" s="1" t="s">
        <v>40</v>
      </c>
      <c r="M725" s="1" t="s">
        <v>33</v>
      </c>
      <c r="N725" s="1">
        <v>2.8</v>
      </c>
    </row>
    <row r="726" spans="1:14" x14ac:dyDescent="0.3">
      <c r="A726" s="1" t="s">
        <v>1479</v>
      </c>
      <c r="B726" s="1" t="s">
        <v>1480</v>
      </c>
      <c r="C726" s="1">
        <v>65</v>
      </c>
      <c r="D726" s="1" t="s">
        <v>23</v>
      </c>
      <c r="E726" s="1" t="s">
        <v>17</v>
      </c>
      <c r="F726" s="1" t="s">
        <v>81</v>
      </c>
      <c r="G726" s="9">
        <v>752201.32</v>
      </c>
      <c r="H726" s="1">
        <v>1647120.32</v>
      </c>
      <c r="I726" s="1">
        <v>663</v>
      </c>
      <c r="J726" s="1">
        <v>178</v>
      </c>
      <c r="K726" s="1">
        <v>22537</v>
      </c>
      <c r="L726" s="1" t="s">
        <v>26</v>
      </c>
      <c r="M726" s="1" t="s">
        <v>20</v>
      </c>
      <c r="N726" s="1">
        <v>1.9</v>
      </c>
    </row>
    <row r="727" spans="1:14" x14ac:dyDescent="0.3">
      <c r="A727" s="1" t="s">
        <v>1481</v>
      </c>
      <c r="B727" s="1" t="s">
        <v>1482</v>
      </c>
      <c r="C727" s="1">
        <v>54</v>
      </c>
      <c r="D727" s="1" t="s">
        <v>23</v>
      </c>
      <c r="E727" s="1" t="s">
        <v>17</v>
      </c>
      <c r="F727" s="1" t="s">
        <v>39</v>
      </c>
      <c r="G727" s="9">
        <v>53152.45</v>
      </c>
      <c r="H727" s="1">
        <v>347836.84</v>
      </c>
      <c r="I727" s="1">
        <v>638</v>
      </c>
      <c r="J727" s="1">
        <v>295</v>
      </c>
      <c r="K727" s="1">
        <v>225876</v>
      </c>
      <c r="L727" s="1" t="s">
        <v>30</v>
      </c>
      <c r="M727" s="1" t="s">
        <v>20</v>
      </c>
      <c r="N727" s="1">
        <v>3.5</v>
      </c>
    </row>
    <row r="728" spans="1:14" x14ac:dyDescent="0.3">
      <c r="A728" s="1" t="s">
        <v>1483</v>
      </c>
      <c r="B728" s="1" t="s">
        <v>1484</v>
      </c>
      <c r="C728" s="1">
        <v>52</v>
      </c>
      <c r="D728" s="1" t="s">
        <v>23</v>
      </c>
      <c r="E728" s="1" t="s">
        <v>29</v>
      </c>
      <c r="F728" s="1" t="s">
        <v>39</v>
      </c>
      <c r="G728" s="9">
        <v>286566.32</v>
      </c>
      <c r="H728" s="1">
        <v>271595.89</v>
      </c>
      <c r="I728" s="1">
        <v>883</v>
      </c>
      <c r="J728" s="1">
        <v>497</v>
      </c>
      <c r="K728" s="1">
        <v>121301</v>
      </c>
      <c r="L728" s="1" t="s">
        <v>19</v>
      </c>
      <c r="M728" s="1" t="s">
        <v>20</v>
      </c>
      <c r="N728" s="1">
        <v>2.8</v>
      </c>
    </row>
    <row r="729" spans="1:14" x14ac:dyDescent="0.3">
      <c r="A729" s="1" t="s">
        <v>1485</v>
      </c>
      <c r="B729" s="1" t="s">
        <v>1486</v>
      </c>
      <c r="C729" s="1">
        <v>20</v>
      </c>
      <c r="D729" s="1" t="s">
        <v>23</v>
      </c>
      <c r="E729" s="1" t="s">
        <v>55</v>
      </c>
      <c r="F729" s="1" t="s">
        <v>39</v>
      </c>
      <c r="G729" s="9">
        <v>1035091.7</v>
      </c>
      <c r="H729" s="1">
        <v>1221533.31</v>
      </c>
      <c r="I729" s="1">
        <v>491</v>
      </c>
      <c r="J729" s="1">
        <v>106</v>
      </c>
      <c r="K729" s="1">
        <v>236655</v>
      </c>
      <c r="L729" s="1" t="s">
        <v>40</v>
      </c>
      <c r="M729" s="1" t="s">
        <v>33</v>
      </c>
      <c r="N729" s="1">
        <v>1.3</v>
      </c>
    </row>
    <row r="730" spans="1:14" x14ac:dyDescent="0.3">
      <c r="A730" s="1" t="s">
        <v>1487</v>
      </c>
      <c r="B730" s="1" t="s">
        <v>1488</v>
      </c>
      <c r="C730" s="1">
        <v>60</v>
      </c>
      <c r="D730" s="1" t="s">
        <v>23</v>
      </c>
      <c r="E730" s="1" t="s">
        <v>17</v>
      </c>
      <c r="F730" s="1" t="s">
        <v>39</v>
      </c>
      <c r="G730" s="9">
        <v>109619.25</v>
      </c>
      <c r="H730" s="1">
        <v>143632.95000000001</v>
      </c>
      <c r="I730" s="1">
        <v>830</v>
      </c>
      <c r="J730" s="1">
        <v>10</v>
      </c>
      <c r="K730" s="1">
        <v>157467</v>
      </c>
      <c r="L730" s="1" t="s">
        <v>19</v>
      </c>
      <c r="M730" s="1" t="s">
        <v>20</v>
      </c>
      <c r="N730" s="1">
        <v>1.7</v>
      </c>
    </row>
    <row r="731" spans="1:14" x14ac:dyDescent="0.3">
      <c r="A731" s="1" t="s">
        <v>1489</v>
      </c>
      <c r="B731" s="1" t="s">
        <v>1490</v>
      </c>
      <c r="C731" s="1">
        <v>52</v>
      </c>
      <c r="D731" s="1" t="s">
        <v>23</v>
      </c>
      <c r="E731" s="1" t="s">
        <v>17</v>
      </c>
      <c r="F731" s="1" t="s">
        <v>25</v>
      </c>
      <c r="G731" s="9">
        <v>719985.46</v>
      </c>
      <c r="H731" s="1">
        <v>171907.48</v>
      </c>
      <c r="I731" s="1">
        <v>511</v>
      </c>
      <c r="J731" s="1">
        <v>71</v>
      </c>
      <c r="K731" s="1">
        <v>129684</v>
      </c>
      <c r="L731" s="1" t="s">
        <v>40</v>
      </c>
      <c r="M731" s="1" t="s">
        <v>33</v>
      </c>
      <c r="N731" s="1">
        <v>4.5</v>
      </c>
    </row>
    <row r="732" spans="1:14" x14ac:dyDescent="0.3">
      <c r="A732" s="1" t="s">
        <v>1491</v>
      </c>
      <c r="B732" s="1" t="s">
        <v>1492</v>
      </c>
      <c r="C732" s="1">
        <v>55</v>
      </c>
      <c r="D732" s="1" t="s">
        <v>16</v>
      </c>
      <c r="E732" s="1" t="s">
        <v>45</v>
      </c>
      <c r="F732" s="1" t="s">
        <v>18</v>
      </c>
      <c r="G732" s="9">
        <v>756200.16</v>
      </c>
      <c r="H732" s="1">
        <v>1712089.82</v>
      </c>
      <c r="I732" s="1">
        <v>582</v>
      </c>
      <c r="J732" s="1">
        <v>108</v>
      </c>
      <c r="K732" s="1">
        <v>73208</v>
      </c>
      <c r="L732" s="1" t="s">
        <v>30</v>
      </c>
      <c r="M732" s="1" t="s">
        <v>20</v>
      </c>
      <c r="N732" s="1">
        <v>1</v>
      </c>
    </row>
    <row r="733" spans="1:14" x14ac:dyDescent="0.3">
      <c r="A733" s="1" t="s">
        <v>1493</v>
      </c>
      <c r="B733" s="1" t="s">
        <v>1494</v>
      </c>
      <c r="C733" s="1">
        <v>51</v>
      </c>
      <c r="D733" s="1" t="s">
        <v>16</v>
      </c>
      <c r="E733" s="1" t="s">
        <v>55</v>
      </c>
      <c r="F733" s="1" t="s">
        <v>25</v>
      </c>
      <c r="G733" s="9">
        <v>1365902.3</v>
      </c>
      <c r="H733" s="1">
        <v>2198098.48</v>
      </c>
      <c r="I733" s="1">
        <v>771</v>
      </c>
      <c r="J733" s="1">
        <v>241</v>
      </c>
      <c r="K733" s="1">
        <v>106216</v>
      </c>
      <c r="L733" s="1" t="s">
        <v>26</v>
      </c>
      <c r="M733" s="1" t="s">
        <v>33</v>
      </c>
      <c r="N733" s="1">
        <v>3.3</v>
      </c>
    </row>
    <row r="734" spans="1:14" x14ac:dyDescent="0.3">
      <c r="A734" s="1" t="s">
        <v>1495</v>
      </c>
      <c r="B734" s="1" t="s">
        <v>1496</v>
      </c>
      <c r="C734" s="1">
        <v>43</v>
      </c>
      <c r="D734" s="1" t="s">
        <v>23</v>
      </c>
      <c r="E734" s="1" t="s">
        <v>45</v>
      </c>
      <c r="F734" s="1" t="s">
        <v>25</v>
      </c>
      <c r="G734" s="9">
        <v>1236027.26</v>
      </c>
      <c r="H734" s="1">
        <v>2124609.73</v>
      </c>
      <c r="I734" s="1">
        <v>725</v>
      </c>
      <c r="J734" s="1">
        <v>132</v>
      </c>
      <c r="K734" s="1">
        <v>180701</v>
      </c>
      <c r="L734" s="1" t="s">
        <v>40</v>
      </c>
      <c r="M734" s="1" t="s">
        <v>20</v>
      </c>
      <c r="N734" s="1">
        <v>1.7</v>
      </c>
    </row>
    <row r="735" spans="1:14" x14ac:dyDescent="0.3">
      <c r="A735" s="1" t="s">
        <v>1497</v>
      </c>
      <c r="B735" s="1" t="s">
        <v>1498</v>
      </c>
      <c r="C735" s="1">
        <v>43</v>
      </c>
      <c r="D735" s="1" t="s">
        <v>23</v>
      </c>
      <c r="E735" s="1" t="s">
        <v>29</v>
      </c>
      <c r="F735" s="1" t="s">
        <v>39</v>
      </c>
      <c r="G735" s="9">
        <v>1418802.61</v>
      </c>
      <c r="H735" s="1">
        <v>599238.14</v>
      </c>
      <c r="I735" s="1">
        <v>461</v>
      </c>
      <c r="J735" s="1">
        <v>145</v>
      </c>
      <c r="K735" s="1">
        <v>203145</v>
      </c>
      <c r="L735" s="1" t="s">
        <v>30</v>
      </c>
      <c r="M735" s="1" t="s">
        <v>33</v>
      </c>
      <c r="N735" s="1">
        <v>4.5</v>
      </c>
    </row>
    <row r="736" spans="1:14" x14ac:dyDescent="0.3">
      <c r="A736" s="1" t="s">
        <v>1499</v>
      </c>
      <c r="B736" s="1" t="s">
        <v>1500</v>
      </c>
      <c r="C736" s="1">
        <v>66</v>
      </c>
      <c r="D736" s="1" t="s">
        <v>23</v>
      </c>
      <c r="E736" s="1" t="s">
        <v>17</v>
      </c>
      <c r="F736" s="1" t="s">
        <v>25</v>
      </c>
      <c r="G736" s="9">
        <v>186239.78</v>
      </c>
      <c r="H736" s="1">
        <v>921830.16</v>
      </c>
      <c r="I736" s="1">
        <v>407</v>
      </c>
      <c r="J736" s="1">
        <v>263</v>
      </c>
      <c r="K736" s="1">
        <v>164919</v>
      </c>
      <c r="L736" s="1" t="s">
        <v>40</v>
      </c>
      <c r="M736" s="1" t="s">
        <v>33</v>
      </c>
      <c r="N736" s="1">
        <v>4.0999999999999996</v>
      </c>
    </row>
    <row r="737" spans="1:14" x14ac:dyDescent="0.3">
      <c r="A737" s="1" t="s">
        <v>1501</v>
      </c>
      <c r="B737" s="1" t="s">
        <v>1502</v>
      </c>
      <c r="C737" s="1">
        <v>31</v>
      </c>
      <c r="D737" s="1" t="s">
        <v>23</v>
      </c>
      <c r="E737" s="1" t="s">
        <v>24</v>
      </c>
      <c r="F737" s="1" t="s">
        <v>25</v>
      </c>
      <c r="G737" s="9">
        <v>71729.570000000007</v>
      </c>
      <c r="H737" s="1">
        <v>66794.7</v>
      </c>
      <c r="I737" s="1">
        <v>772</v>
      </c>
      <c r="J737" s="1">
        <v>200</v>
      </c>
      <c r="K737" s="1">
        <v>152661</v>
      </c>
      <c r="L737" s="1" t="s">
        <v>19</v>
      </c>
      <c r="M737" s="1" t="s">
        <v>20</v>
      </c>
      <c r="N737" s="1">
        <v>2.4</v>
      </c>
    </row>
    <row r="738" spans="1:14" x14ac:dyDescent="0.3">
      <c r="A738" s="1" t="s">
        <v>1503</v>
      </c>
      <c r="B738" s="1" t="s">
        <v>1504</v>
      </c>
      <c r="C738" s="1">
        <v>34</v>
      </c>
      <c r="D738" s="1" t="s">
        <v>16</v>
      </c>
      <c r="E738" s="1" t="s">
        <v>24</v>
      </c>
      <c r="F738" s="1" t="s">
        <v>25</v>
      </c>
      <c r="G738" s="9">
        <v>1065103.9099999999</v>
      </c>
      <c r="H738" s="1">
        <v>341201.43</v>
      </c>
      <c r="I738" s="1">
        <v>775</v>
      </c>
      <c r="J738" s="1">
        <v>253</v>
      </c>
      <c r="K738" s="1">
        <v>50063</v>
      </c>
      <c r="L738" s="1" t="s">
        <v>40</v>
      </c>
      <c r="M738" s="1" t="s">
        <v>33</v>
      </c>
      <c r="N738" s="1">
        <v>2.8</v>
      </c>
    </row>
    <row r="739" spans="1:14" x14ac:dyDescent="0.3">
      <c r="A739" s="1" t="s">
        <v>1505</v>
      </c>
      <c r="B739" s="1" t="s">
        <v>1506</v>
      </c>
      <c r="C739" s="1">
        <v>70</v>
      </c>
      <c r="D739" s="1" t="s">
        <v>23</v>
      </c>
      <c r="E739" s="1" t="s">
        <v>29</v>
      </c>
      <c r="F739" s="1" t="s">
        <v>25</v>
      </c>
      <c r="G739" s="9">
        <v>1263135.99</v>
      </c>
      <c r="H739" s="1">
        <v>426472.74</v>
      </c>
      <c r="I739" s="1">
        <v>318</v>
      </c>
      <c r="J739" s="1">
        <v>315</v>
      </c>
      <c r="K739" s="1">
        <v>93175</v>
      </c>
      <c r="L739" s="1" t="s">
        <v>40</v>
      </c>
      <c r="M739" s="1" t="s">
        <v>20</v>
      </c>
      <c r="N739" s="1">
        <v>1.4</v>
      </c>
    </row>
    <row r="740" spans="1:14" x14ac:dyDescent="0.3">
      <c r="A740" s="1" t="s">
        <v>1507</v>
      </c>
      <c r="B740" s="1" t="s">
        <v>1508</v>
      </c>
      <c r="C740" s="1">
        <v>60</v>
      </c>
      <c r="D740" s="1" t="s">
        <v>16</v>
      </c>
      <c r="E740" s="1" t="s">
        <v>24</v>
      </c>
      <c r="F740" s="1" t="s">
        <v>25</v>
      </c>
      <c r="G740" s="9">
        <v>21759.87</v>
      </c>
      <c r="H740" s="1">
        <v>683130.66</v>
      </c>
      <c r="I740" s="1">
        <v>751</v>
      </c>
      <c r="J740" s="1">
        <v>188</v>
      </c>
      <c r="K740" s="1">
        <v>220170</v>
      </c>
      <c r="L740" s="1" t="s">
        <v>19</v>
      </c>
      <c r="M740" s="1" t="s">
        <v>20</v>
      </c>
      <c r="N740" s="1">
        <v>1.7</v>
      </c>
    </row>
    <row r="741" spans="1:14" x14ac:dyDescent="0.3">
      <c r="A741" s="1" t="s">
        <v>1509</v>
      </c>
      <c r="B741" s="1" t="s">
        <v>1510</v>
      </c>
      <c r="C741" s="1">
        <v>42</v>
      </c>
      <c r="D741" s="1" t="s">
        <v>16</v>
      </c>
      <c r="E741" s="1" t="s">
        <v>24</v>
      </c>
      <c r="F741" s="1" t="s">
        <v>81</v>
      </c>
      <c r="G741" s="9">
        <v>465944.76</v>
      </c>
      <c r="H741" s="1">
        <v>131038.14</v>
      </c>
      <c r="I741" s="1">
        <v>304</v>
      </c>
      <c r="J741" s="1">
        <v>29</v>
      </c>
      <c r="K741" s="1">
        <v>200970</v>
      </c>
      <c r="L741" s="1" t="s">
        <v>40</v>
      </c>
      <c r="M741" s="1" t="s">
        <v>20</v>
      </c>
      <c r="N741" s="1">
        <v>4.0999999999999996</v>
      </c>
    </row>
    <row r="742" spans="1:14" x14ac:dyDescent="0.3">
      <c r="A742" s="1" t="s">
        <v>1511</v>
      </c>
      <c r="B742" s="1" t="s">
        <v>1512</v>
      </c>
      <c r="C742" s="1">
        <v>23</v>
      </c>
      <c r="D742" s="1" t="s">
        <v>16</v>
      </c>
      <c r="E742" s="1" t="s">
        <v>24</v>
      </c>
      <c r="F742" s="1" t="s">
        <v>18</v>
      </c>
      <c r="G742" s="9">
        <v>635415.68000000005</v>
      </c>
      <c r="H742" s="1">
        <v>2473226.56</v>
      </c>
      <c r="I742" s="1">
        <v>645</v>
      </c>
      <c r="J742" s="1">
        <v>425</v>
      </c>
      <c r="K742" s="1">
        <v>24204</v>
      </c>
      <c r="L742" s="1" t="s">
        <v>40</v>
      </c>
      <c r="M742" s="1" t="s">
        <v>20</v>
      </c>
      <c r="N742" s="1">
        <v>1.8</v>
      </c>
    </row>
    <row r="743" spans="1:14" x14ac:dyDescent="0.3">
      <c r="A743" s="1" t="s">
        <v>1513</v>
      </c>
      <c r="B743" s="1" t="s">
        <v>1514</v>
      </c>
      <c r="C743" s="1">
        <v>20</v>
      </c>
      <c r="D743" s="1" t="s">
        <v>16</v>
      </c>
      <c r="E743" s="1" t="s">
        <v>17</v>
      </c>
      <c r="F743" s="1" t="s">
        <v>25</v>
      </c>
      <c r="G743" s="9">
        <v>771187.65</v>
      </c>
      <c r="H743" s="1">
        <v>2039060.84</v>
      </c>
      <c r="I743" s="1">
        <v>630</v>
      </c>
      <c r="J743" s="1">
        <v>292</v>
      </c>
      <c r="K743" s="1">
        <v>128968</v>
      </c>
      <c r="L743" s="1" t="s">
        <v>19</v>
      </c>
      <c r="M743" s="1" t="s">
        <v>20</v>
      </c>
      <c r="N743" s="1">
        <v>3.5</v>
      </c>
    </row>
    <row r="744" spans="1:14" x14ac:dyDescent="0.3">
      <c r="A744" s="1" t="s">
        <v>1515</v>
      </c>
      <c r="B744" s="1" t="s">
        <v>1516</v>
      </c>
      <c r="C744" s="1">
        <v>31</v>
      </c>
      <c r="D744" s="1" t="s">
        <v>23</v>
      </c>
      <c r="E744" s="1" t="s">
        <v>24</v>
      </c>
      <c r="F744" s="1" t="s">
        <v>25</v>
      </c>
      <c r="G744" s="9">
        <v>538081.61</v>
      </c>
      <c r="H744" s="1">
        <v>434053.89</v>
      </c>
      <c r="I744" s="1">
        <v>711</v>
      </c>
      <c r="J744" s="1">
        <v>339</v>
      </c>
      <c r="K744" s="1">
        <v>47757</v>
      </c>
      <c r="L744" s="1" t="s">
        <v>40</v>
      </c>
      <c r="M744" s="1" t="s">
        <v>20</v>
      </c>
      <c r="N744" s="1">
        <v>2.2999999999999998</v>
      </c>
    </row>
    <row r="745" spans="1:14" x14ac:dyDescent="0.3">
      <c r="A745" s="1" t="s">
        <v>1517</v>
      </c>
      <c r="B745" s="1" t="s">
        <v>1518</v>
      </c>
      <c r="C745" s="1">
        <v>60</v>
      </c>
      <c r="D745" s="1" t="s">
        <v>23</v>
      </c>
      <c r="E745" s="1" t="s">
        <v>55</v>
      </c>
      <c r="F745" s="1" t="s">
        <v>25</v>
      </c>
      <c r="G745" s="9">
        <v>421294.15</v>
      </c>
      <c r="H745" s="1">
        <v>1559773.49</v>
      </c>
      <c r="I745" s="1">
        <v>344</v>
      </c>
      <c r="J745" s="1">
        <v>39</v>
      </c>
      <c r="K745" s="1">
        <v>233669</v>
      </c>
      <c r="L745" s="1" t="s">
        <v>19</v>
      </c>
      <c r="M745" s="1" t="s">
        <v>20</v>
      </c>
      <c r="N745" s="1">
        <v>4.5</v>
      </c>
    </row>
    <row r="746" spans="1:14" x14ac:dyDescent="0.3">
      <c r="A746" s="1" t="s">
        <v>1519</v>
      </c>
      <c r="B746" s="1" t="s">
        <v>1520</v>
      </c>
      <c r="C746" s="1">
        <v>34</v>
      </c>
      <c r="D746" s="1" t="s">
        <v>16</v>
      </c>
      <c r="E746" s="1" t="s">
        <v>48</v>
      </c>
      <c r="F746" s="1" t="s">
        <v>39</v>
      </c>
      <c r="G746" s="9">
        <v>901801.38</v>
      </c>
      <c r="H746" s="1">
        <v>2453539.7400000002</v>
      </c>
      <c r="I746" s="1">
        <v>697</v>
      </c>
      <c r="J746" s="1">
        <v>352</v>
      </c>
      <c r="K746" s="1">
        <v>44836</v>
      </c>
      <c r="L746" s="1" t="s">
        <v>26</v>
      </c>
      <c r="M746" s="1" t="s">
        <v>33</v>
      </c>
      <c r="N746" s="1">
        <v>4.7</v>
      </c>
    </row>
    <row r="747" spans="1:14" x14ac:dyDescent="0.3">
      <c r="A747" s="1" t="s">
        <v>1521</v>
      </c>
      <c r="B747" s="1" t="s">
        <v>1522</v>
      </c>
      <c r="C747" s="1">
        <v>22</v>
      </c>
      <c r="D747" s="1" t="s">
        <v>16</v>
      </c>
      <c r="E747" s="1" t="s">
        <v>76</v>
      </c>
      <c r="F747" s="1" t="s">
        <v>39</v>
      </c>
      <c r="G747" s="9">
        <v>31384.95</v>
      </c>
      <c r="H747" s="1">
        <v>2280258.14</v>
      </c>
      <c r="I747" s="1">
        <v>759</v>
      </c>
      <c r="J747" s="1">
        <v>200</v>
      </c>
      <c r="K747" s="1">
        <v>107845</v>
      </c>
      <c r="L747" s="1" t="s">
        <v>19</v>
      </c>
      <c r="M747" s="1" t="s">
        <v>20</v>
      </c>
      <c r="N747" s="1">
        <v>3</v>
      </c>
    </row>
    <row r="748" spans="1:14" x14ac:dyDescent="0.3">
      <c r="A748" s="1" t="s">
        <v>1523</v>
      </c>
      <c r="B748" s="1" t="s">
        <v>1524</v>
      </c>
      <c r="C748" s="1">
        <v>37</v>
      </c>
      <c r="D748" s="1" t="s">
        <v>23</v>
      </c>
      <c r="E748" s="1" t="s">
        <v>55</v>
      </c>
      <c r="F748" s="1" t="s">
        <v>39</v>
      </c>
      <c r="G748" s="9">
        <v>1108180.3600000001</v>
      </c>
      <c r="H748" s="1">
        <v>1893114.36</v>
      </c>
      <c r="I748" s="1">
        <v>381</v>
      </c>
      <c r="J748" s="1">
        <v>35</v>
      </c>
      <c r="K748" s="1">
        <v>81969</v>
      </c>
      <c r="L748" s="1" t="s">
        <v>40</v>
      </c>
      <c r="M748" s="1" t="s">
        <v>33</v>
      </c>
      <c r="N748" s="1">
        <v>1.6</v>
      </c>
    </row>
    <row r="749" spans="1:14" x14ac:dyDescent="0.3">
      <c r="A749" s="1" t="s">
        <v>1525</v>
      </c>
      <c r="B749" s="1" t="s">
        <v>1526</v>
      </c>
      <c r="C749" s="1">
        <v>31</v>
      </c>
      <c r="D749" s="1" t="s">
        <v>16</v>
      </c>
      <c r="E749" s="1" t="s">
        <v>55</v>
      </c>
      <c r="F749" s="1" t="s">
        <v>81</v>
      </c>
      <c r="G749" s="9">
        <v>61670.54</v>
      </c>
      <c r="H749" s="1">
        <v>2308522.85</v>
      </c>
      <c r="I749" s="1">
        <v>754</v>
      </c>
      <c r="J749" s="1">
        <v>383</v>
      </c>
      <c r="K749" s="1">
        <v>188306</v>
      </c>
      <c r="L749" s="1" t="s">
        <v>19</v>
      </c>
      <c r="M749" s="1" t="s">
        <v>33</v>
      </c>
      <c r="N749" s="1">
        <v>4.5</v>
      </c>
    </row>
    <row r="750" spans="1:14" x14ac:dyDescent="0.3">
      <c r="A750" s="1" t="s">
        <v>1527</v>
      </c>
      <c r="B750" s="1" t="s">
        <v>1528</v>
      </c>
      <c r="C750" s="1">
        <v>59</v>
      </c>
      <c r="D750" s="1" t="s">
        <v>16</v>
      </c>
      <c r="E750" s="1" t="s">
        <v>24</v>
      </c>
      <c r="F750" s="1" t="s">
        <v>39</v>
      </c>
      <c r="G750" s="9">
        <v>436240.38</v>
      </c>
      <c r="H750" s="1">
        <v>59233.33</v>
      </c>
      <c r="I750" s="1">
        <v>639</v>
      </c>
      <c r="J750" s="1">
        <v>180</v>
      </c>
      <c r="K750" s="1">
        <v>233047</v>
      </c>
      <c r="L750" s="1" t="s">
        <v>30</v>
      </c>
      <c r="M750" s="1" t="s">
        <v>33</v>
      </c>
      <c r="N750" s="1">
        <v>2</v>
      </c>
    </row>
    <row r="751" spans="1:14" x14ac:dyDescent="0.3">
      <c r="A751" s="1" t="s">
        <v>1529</v>
      </c>
      <c r="B751" s="1" t="s">
        <v>1530</v>
      </c>
      <c r="C751" s="1">
        <v>29</v>
      </c>
      <c r="D751" s="1" t="s">
        <v>16</v>
      </c>
      <c r="E751" s="1" t="s">
        <v>38</v>
      </c>
      <c r="F751" s="1" t="s">
        <v>39</v>
      </c>
      <c r="G751" s="9">
        <v>946524.86</v>
      </c>
      <c r="H751" s="1">
        <v>161542.20000000001</v>
      </c>
      <c r="I751" s="1">
        <v>803</v>
      </c>
      <c r="J751" s="1">
        <v>40</v>
      </c>
      <c r="K751" s="1">
        <v>135962</v>
      </c>
      <c r="L751" s="1" t="s">
        <v>40</v>
      </c>
      <c r="M751" s="1" t="s">
        <v>20</v>
      </c>
      <c r="N751" s="1">
        <v>4.8</v>
      </c>
    </row>
    <row r="752" spans="1:14" x14ac:dyDescent="0.3">
      <c r="A752" s="1" t="s">
        <v>1531</v>
      </c>
      <c r="B752" s="1" t="s">
        <v>1532</v>
      </c>
      <c r="C752" s="1">
        <v>29</v>
      </c>
      <c r="D752" s="1" t="s">
        <v>23</v>
      </c>
      <c r="E752" s="1" t="s">
        <v>45</v>
      </c>
      <c r="F752" s="1" t="s">
        <v>81</v>
      </c>
      <c r="G752" s="9">
        <v>825526.42</v>
      </c>
      <c r="H752" s="1">
        <v>1988082.73</v>
      </c>
      <c r="I752" s="1">
        <v>509</v>
      </c>
      <c r="J752" s="1">
        <v>125</v>
      </c>
      <c r="K752" s="1">
        <v>175354</v>
      </c>
      <c r="L752" s="1" t="s">
        <v>40</v>
      </c>
      <c r="M752" s="1" t="s">
        <v>20</v>
      </c>
      <c r="N752" s="1">
        <v>3</v>
      </c>
    </row>
    <row r="753" spans="1:14" x14ac:dyDescent="0.3">
      <c r="A753" s="1" t="s">
        <v>1533</v>
      </c>
      <c r="B753" s="1" t="s">
        <v>1534</v>
      </c>
      <c r="C753" s="1">
        <v>33</v>
      </c>
      <c r="D753" s="1" t="s">
        <v>16</v>
      </c>
      <c r="E753" s="1" t="s">
        <v>55</v>
      </c>
      <c r="F753" s="1" t="s">
        <v>25</v>
      </c>
      <c r="G753" s="9">
        <v>268771.08</v>
      </c>
      <c r="H753" s="1">
        <v>622423.57999999996</v>
      </c>
      <c r="I753" s="1">
        <v>592</v>
      </c>
      <c r="J753" s="1">
        <v>300</v>
      </c>
      <c r="K753" s="1">
        <v>131153</v>
      </c>
      <c r="L753" s="1" t="s">
        <v>19</v>
      </c>
      <c r="M753" s="1" t="s">
        <v>33</v>
      </c>
      <c r="N753" s="1">
        <v>2.8</v>
      </c>
    </row>
    <row r="754" spans="1:14" x14ac:dyDescent="0.3">
      <c r="A754" s="1" t="s">
        <v>1535</v>
      </c>
      <c r="B754" s="1" t="s">
        <v>1536</v>
      </c>
      <c r="C754" s="1">
        <v>43</v>
      </c>
      <c r="D754" s="1" t="s">
        <v>16</v>
      </c>
      <c r="E754" s="1" t="s">
        <v>45</v>
      </c>
      <c r="F754" s="1" t="s">
        <v>18</v>
      </c>
      <c r="G754" s="9">
        <v>255810.23</v>
      </c>
      <c r="H754" s="1">
        <v>1103440.18</v>
      </c>
      <c r="I754" s="1">
        <v>817</v>
      </c>
      <c r="J754" s="1">
        <v>317</v>
      </c>
      <c r="K754" s="1">
        <v>119016</v>
      </c>
      <c r="L754" s="1" t="s">
        <v>30</v>
      </c>
      <c r="M754" s="1" t="s">
        <v>33</v>
      </c>
      <c r="N754" s="1">
        <v>3.9</v>
      </c>
    </row>
    <row r="755" spans="1:14" x14ac:dyDescent="0.3">
      <c r="A755" s="1" t="s">
        <v>1537</v>
      </c>
      <c r="B755" s="1" t="s">
        <v>1538</v>
      </c>
      <c r="C755" s="1">
        <v>23</v>
      </c>
      <c r="D755" s="1" t="s">
        <v>16</v>
      </c>
      <c r="E755" s="1" t="s">
        <v>55</v>
      </c>
      <c r="F755" s="1" t="s">
        <v>25</v>
      </c>
      <c r="G755" s="9">
        <v>1360153.27</v>
      </c>
      <c r="H755" s="1">
        <v>750578.88</v>
      </c>
      <c r="I755" s="1">
        <v>850</v>
      </c>
      <c r="J755" s="1">
        <v>83</v>
      </c>
      <c r="K755" s="1">
        <v>218930</v>
      </c>
      <c r="L755" s="1" t="s">
        <v>30</v>
      </c>
      <c r="M755" s="1" t="s">
        <v>33</v>
      </c>
      <c r="N755" s="1">
        <v>3.2</v>
      </c>
    </row>
    <row r="756" spans="1:14" x14ac:dyDescent="0.3">
      <c r="A756" s="1" t="s">
        <v>1539</v>
      </c>
      <c r="B756" s="1" t="s">
        <v>1540</v>
      </c>
      <c r="C756" s="1">
        <v>47</v>
      </c>
      <c r="D756" s="1" t="s">
        <v>23</v>
      </c>
      <c r="E756" s="1" t="s">
        <v>24</v>
      </c>
      <c r="F756" s="1" t="s">
        <v>39</v>
      </c>
      <c r="G756" s="9">
        <v>565844.59</v>
      </c>
      <c r="H756" s="1">
        <v>1515063.39</v>
      </c>
      <c r="I756" s="1">
        <v>373</v>
      </c>
      <c r="J756" s="1">
        <v>175</v>
      </c>
      <c r="K756" s="1">
        <v>94245</v>
      </c>
      <c r="L756" s="1" t="s">
        <v>40</v>
      </c>
      <c r="M756" s="1" t="s">
        <v>20</v>
      </c>
      <c r="N756" s="1">
        <v>1.5</v>
      </c>
    </row>
    <row r="757" spans="1:14" x14ac:dyDescent="0.3">
      <c r="A757" s="1" t="s">
        <v>1541</v>
      </c>
      <c r="B757" s="1" t="s">
        <v>1542</v>
      </c>
      <c r="C757" s="1">
        <v>18</v>
      </c>
      <c r="D757" s="1" t="s">
        <v>23</v>
      </c>
      <c r="E757" s="1" t="s">
        <v>48</v>
      </c>
      <c r="F757" s="1" t="s">
        <v>25</v>
      </c>
      <c r="G757" s="9">
        <v>753546.21</v>
      </c>
      <c r="H757" s="1">
        <v>1813363.44</v>
      </c>
      <c r="I757" s="1">
        <v>803</v>
      </c>
      <c r="J757" s="1">
        <v>212</v>
      </c>
      <c r="K757" s="1">
        <v>245877</v>
      </c>
      <c r="L757" s="1" t="s">
        <v>30</v>
      </c>
      <c r="M757" s="1" t="s">
        <v>33</v>
      </c>
      <c r="N757" s="1">
        <v>4.7</v>
      </c>
    </row>
    <row r="758" spans="1:14" x14ac:dyDescent="0.3">
      <c r="A758" s="1" t="s">
        <v>1543</v>
      </c>
      <c r="B758" s="1" t="s">
        <v>1544</v>
      </c>
      <c r="C758" s="1">
        <v>59</v>
      </c>
      <c r="D758" s="1" t="s">
        <v>16</v>
      </c>
      <c r="E758" s="1" t="s">
        <v>24</v>
      </c>
      <c r="F758" s="1" t="s">
        <v>25</v>
      </c>
      <c r="G758" s="9">
        <v>111495.36</v>
      </c>
      <c r="H758" s="1">
        <v>2212498.9500000002</v>
      </c>
      <c r="I758" s="1">
        <v>427</v>
      </c>
      <c r="J758" s="1">
        <v>202</v>
      </c>
      <c r="K758" s="1">
        <v>174221</v>
      </c>
      <c r="L758" s="1" t="s">
        <v>26</v>
      </c>
      <c r="M758" s="1" t="s">
        <v>33</v>
      </c>
      <c r="N758" s="1">
        <v>4.7</v>
      </c>
    </row>
    <row r="759" spans="1:14" x14ac:dyDescent="0.3">
      <c r="A759" s="1" t="s">
        <v>1545</v>
      </c>
      <c r="B759" s="1" t="s">
        <v>1546</v>
      </c>
      <c r="C759" s="1">
        <v>50</v>
      </c>
      <c r="D759" s="1" t="s">
        <v>23</v>
      </c>
      <c r="E759" s="1" t="s">
        <v>24</v>
      </c>
      <c r="F759" s="1" t="s">
        <v>39</v>
      </c>
      <c r="G759" s="9">
        <v>735489.66</v>
      </c>
      <c r="H759" s="1">
        <v>1721223.49</v>
      </c>
      <c r="I759" s="1">
        <v>359</v>
      </c>
      <c r="J759" s="1">
        <v>338</v>
      </c>
      <c r="K759" s="1">
        <v>205893</v>
      </c>
      <c r="L759" s="1" t="s">
        <v>30</v>
      </c>
      <c r="M759" s="1" t="s">
        <v>20</v>
      </c>
      <c r="N759" s="1">
        <v>2.5</v>
      </c>
    </row>
    <row r="760" spans="1:14" x14ac:dyDescent="0.3">
      <c r="A760" s="1" t="s">
        <v>1547</v>
      </c>
      <c r="B760" s="1" t="s">
        <v>1548</v>
      </c>
      <c r="C760" s="1">
        <v>70</v>
      </c>
      <c r="D760" s="1" t="s">
        <v>16</v>
      </c>
      <c r="E760" s="1" t="s">
        <v>55</v>
      </c>
      <c r="F760" s="1" t="s">
        <v>39</v>
      </c>
      <c r="G760" s="9">
        <v>948274.31</v>
      </c>
      <c r="H760" s="1">
        <v>1691064</v>
      </c>
      <c r="I760" s="1">
        <v>451</v>
      </c>
      <c r="J760" s="1">
        <v>138</v>
      </c>
      <c r="K760" s="1">
        <v>114742</v>
      </c>
      <c r="L760" s="1" t="s">
        <v>40</v>
      </c>
      <c r="M760" s="1" t="s">
        <v>20</v>
      </c>
      <c r="N760" s="1">
        <v>3.4</v>
      </c>
    </row>
    <row r="761" spans="1:14" x14ac:dyDescent="0.3">
      <c r="A761" s="1" t="s">
        <v>1549</v>
      </c>
      <c r="B761" s="1" t="s">
        <v>1550</v>
      </c>
      <c r="C761" s="1">
        <v>25</v>
      </c>
      <c r="D761" s="1" t="s">
        <v>16</v>
      </c>
      <c r="E761" s="1" t="s">
        <v>24</v>
      </c>
      <c r="F761" s="1" t="s">
        <v>25</v>
      </c>
      <c r="G761" s="9">
        <v>142997.18</v>
      </c>
      <c r="H761" s="1">
        <v>1779023.67</v>
      </c>
      <c r="I761" s="1">
        <v>693</v>
      </c>
      <c r="J761" s="1">
        <v>208</v>
      </c>
      <c r="K761" s="1">
        <v>222105</v>
      </c>
      <c r="L761" s="1" t="s">
        <v>40</v>
      </c>
      <c r="M761" s="1" t="s">
        <v>33</v>
      </c>
      <c r="N761" s="1">
        <v>3.8</v>
      </c>
    </row>
    <row r="762" spans="1:14" x14ac:dyDescent="0.3">
      <c r="A762" s="1" t="s">
        <v>1551</v>
      </c>
      <c r="B762" s="1" t="s">
        <v>1552</v>
      </c>
      <c r="C762" s="1">
        <v>34</v>
      </c>
      <c r="D762" s="1" t="s">
        <v>23</v>
      </c>
      <c r="E762" s="1" t="s">
        <v>29</v>
      </c>
      <c r="F762" s="1" t="s">
        <v>18</v>
      </c>
      <c r="G762" s="9">
        <v>456818.25</v>
      </c>
      <c r="H762" s="1">
        <v>2419208.58</v>
      </c>
      <c r="I762" s="1">
        <v>691</v>
      </c>
      <c r="J762" s="1">
        <v>305</v>
      </c>
      <c r="K762" s="1">
        <v>201360</v>
      </c>
      <c r="L762" s="1" t="s">
        <v>26</v>
      </c>
      <c r="M762" s="1" t="s">
        <v>20</v>
      </c>
      <c r="N762" s="1">
        <v>2.2000000000000002</v>
      </c>
    </row>
    <row r="763" spans="1:14" x14ac:dyDescent="0.3">
      <c r="A763" s="1" t="s">
        <v>1553</v>
      </c>
      <c r="B763" s="1" t="s">
        <v>1554</v>
      </c>
      <c r="C763" s="1">
        <v>35</v>
      </c>
      <c r="D763" s="1" t="s">
        <v>23</v>
      </c>
      <c r="E763" s="1" t="s">
        <v>76</v>
      </c>
      <c r="F763" s="1" t="s">
        <v>18</v>
      </c>
      <c r="G763" s="9">
        <v>318240.7</v>
      </c>
      <c r="H763" s="1">
        <v>1870725.63</v>
      </c>
      <c r="I763" s="1">
        <v>615</v>
      </c>
      <c r="J763" s="1">
        <v>8</v>
      </c>
      <c r="K763" s="1">
        <v>216275</v>
      </c>
      <c r="L763" s="1" t="s">
        <v>19</v>
      </c>
      <c r="M763" s="1" t="s">
        <v>33</v>
      </c>
      <c r="N763" s="1">
        <v>4.9000000000000004</v>
      </c>
    </row>
    <row r="764" spans="1:14" x14ac:dyDescent="0.3">
      <c r="A764" s="1" t="s">
        <v>1555</v>
      </c>
      <c r="B764" s="1" t="s">
        <v>1556</v>
      </c>
      <c r="C764" s="1">
        <v>51</v>
      </c>
      <c r="D764" s="1" t="s">
        <v>16</v>
      </c>
      <c r="E764" s="1" t="s">
        <v>24</v>
      </c>
      <c r="F764" s="1" t="s">
        <v>25</v>
      </c>
      <c r="G764" s="9">
        <v>983509.18</v>
      </c>
      <c r="H764" s="1">
        <v>1832605.59</v>
      </c>
      <c r="I764" s="1">
        <v>474</v>
      </c>
      <c r="J764" s="1">
        <v>95</v>
      </c>
      <c r="K764" s="1">
        <v>129272</v>
      </c>
      <c r="L764" s="1" t="s">
        <v>40</v>
      </c>
      <c r="M764" s="1" t="s">
        <v>20</v>
      </c>
      <c r="N764" s="1">
        <v>2.5</v>
      </c>
    </row>
    <row r="765" spans="1:14" x14ac:dyDescent="0.3">
      <c r="A765" s="1" t="s">
        <v>1557</v>
      </c>
      <c r="B765" s="1" t="s">
        <v>1558</v>
      </c>
      <c r="C765" s="1">
        <v>46</v>
      </c>
      <c r="D765" s="1" t="s">
        <v>16</v>
      </c>
      <c r="E765" s="1" t="s">
        <v>55</v>
      </c>
      <c r="F765" s="1" t="s">
        <v>25</v>
      </c>
      <c r="G765" s="9">
        <v>1222483.83</v>
      </c>
      <c r="H765" s="1">
        <v>464095.1</v>
      </c>
      <c r="I765" s="1">
        <v>360</v>
      </c>
      <c r="J765" s="1">
        <v>388</v>
      </c>
      <c r="K765" s="1">
        <v>168659</v>
      </c>
      <c r="L765" s="1" t="s">
        <v>30</v>
      </c>
      <c r="M765" s="1" t="s">
        <v>20</v>
      </c>
      <c r="N765" s="1">
        <v>1.7</v>
      </c>
    </row>
    <row r="766" spans="1:14" x14ac:dyDescent="0.3">
      <c r="A766" s="1" t="s">
        <v>1559</v>
      </c>
      <c r="B766" s="1" t="s">
        <v>1560</v>
      </c>
      <c r="C766" s="1">
        <v>58</v>
      </c>
      <c r="D766" s="1" t="s">
        <v>16</v>
      </c>
      <c r="E766" s="1" t="s">
        <v>24</v>
      </c>
      <c r="F766" s="1" t="s">
        <v>25</v>
      </c>
      <c r="G766" s="9">
        <v>124315.65</v>
      </c>
      <c r="H766" s="1">
        <v>214267.66</v>
      </c>
      <c r="I766" s="1">
        <v>427</v>
      </c>
      <c r="J766" s="1">
        <v>146</v>
      </c>
      <c r="K766" s="1">
        <v>63548</v>
      </c>
      <c r="L766" s="1" t="s">
        <v>30</v>
      </c>
      <c r="M766" s="1" t="s">
        <v>20</v>
      </c>
      <c r="N766" s="1">
        <v>1.3</v>
      </c>
    </row>
    <row r="767" spans="1:14" x14ac:dyDescent="0.3">
      <c r="A767" s="1" t="s">
        <v>1561</v>
      </c>
      <c r="B767" s="1" t="s">
        <v>1562</v>
      </c>
      <c r="C767" s="1">
        <v>18</v>
      </c>
      <c r="D767" s="1" t="s">
        <v>16</v>
      </c>
      <c r="E767" s="1" t="s">
        <v>24</v>
      </c>
      <c r="F767" s="1" t="s">
        <v>18</v>
      </c>
      <c r="G767" s="9">
        <v>402790.72</v>
      </c>
      <c r="H767" s="1">
        <v>2388034.33</v>
      </c>
      <c r="I767" s="1">
        <v>896</v>
      </c>
      <c r="J767" s="1">
        <v>409</v>
      </c>
      <c r="K767" s="1">
        <v>36005</v>
      </c>
      <c r="L767" s="1" t="s">
        <v>30</v>
      </c>
      <c r="M767" s="1" t="s">
        <v>33</v>
      </c>
      <c r="N767" s="1">
        <v>5</v>
      </c>
    </row>
    <row r="768" spans="1:14" x14ac:dyDescent="0.3">
      <c r="A768" s="1" t="s">
        <v>1563</v>
      </c>
      <c r="B768" s="1" t="s">
        <v>1564</v>
      </c>
      <c r="C768" s="1">
        <v>49</v>
      </c>
      <c r="D768" s="1" t="s">
        <v>23</v>
      </c>
      <c r="E768" s="1" t="s">
        <v>48</v>
      </c>
      <c r="F768" s="1" t="s">
        <v>39</v>
      </c>
      <c r="G768" s="9">
        <v>1136582.8999999999</v>
      </c>
      <c r="H768" s="1">
        <v>1510928.88</v>
      </c>
      <c r="I768" s="1">
        <v>644</v>
      </c>
      <c r="J768" s="1">
        <v>194</v>
      </c>
      <c r="K768" s="1">
        <v>144054</v>
      </c>
      <c r="L768" s="1" t="s">
        <v>26</v>
      </c>
      <c r="M768" s="1" t="s">
        <v>33</v>
      </c>
      <c r="N768" s="1">
        <v>3.7</v>
      </c>
    </row>
    <row r="769" spans="1:14" x14ac:dyDescent="0.3">
      <c r="A769" s="1" t="s">
        <v>1565</v>
      </c>
      <c r="B769" s="1" t="s">
        <v>1566</v>
      </c>
      <c r="C769" s="1">
        <v>42</v>
      </c>
      <c r="D769" s="1" t="s">
        <v>23</v>
      </c>
      <c r="E769" s="1" t="s">
        <v>17</v>
      </c>
      <c r="F769" s="1" t="s">
        <v>39</v>
      </c>
      <c r="G769" s="9">
        <v>90576.11</v>
      </c>
      <c r="H769" s="1">
        <v>890073.08</v>
      </c>
      <c r="I769" s="1">
        <v>638</v>
      </c>
      <c r="J769" s="1">
        <v>417</v>
      </c>
      <c r="K769" s="1">
        <v>180119</v>
      </c>
      <c r="L769" s="1" t="s">
        <v>19</v>
      </c>
      <c r="M769" s="1" t="s">
        <v>20</v>
      </c>
      <c r="N769" s="1">
        <v>1.4</v>
      </c>
    </row>
    <row r="770" spans="1:14" x14ac:dyDescent="0.3">
      <c r="A770" s="1" t="s">
        <v>1567</v>
      </c>
      <c r="B770" s="1" t="s">
        <v>1568</v>
      </c>
      <c r="C770" s="1">
        <v>51</v>
      </c>
      <c r="D770" s="1" t="s">
        <v>23</v>
      </c>
      <c r="E770" s="1" t="s">
        <v>17</v>
      </c>
      <c r="F770" s="1" t="s">
        <v>39</v>
      </c>
      <c r="G770" s="9">
        <v>1426837.6</v>
      </c>
      <c r="H770" s="1">
        <v>1878599.35</v>
      </c>
      <c r="I770" s="1">
        <v>554</v>
      </c>
      <c r="J770" s="1">
        <v>193</v>
      </c>
      <c r="K770" s="1">
        <v>93260</v>
      </c>
      <c r="L770" s="1" t="s">
        <v>19</v>
      </c>
      <c r="M770" s="1" t="s">
        <v>33</v>
      </c>
      <c r="N770" s="1">
        <v>2.8</v>
      </c>
    </row>
    <row r="771" spans="1:14" x14ac:dyDescent="0.3">
      <c r="A771" s="1" t="s">
        <v>1569</v>
      </c>
      <c r="B771" s="1" t="s">
        <v>1570</v>
      </c>
      <c r="C771" s="1">
        <v>19</v>
      </c>
      <c r="D771" s="1" t="s">
        <v>23</v>
      </c>
      <c r="E771" s="1" t="s">
        <v>17</v>
      </c>
      <c r="F771" s="1" t="s">
        <v>18</v>
      </c>
      <c r="G771" s="9">
        <v>543507.39</v>
      </c>
      <c r="H771" s="1">
        <v>114385.71</v>
      </c>
      <c r="I771" s="1">
        <v>633</v>
      </c>
      <c r="J771" s="1">
        <v>352</v>
      </c>
      <c r="K771" s="1">
        <v>186140</v>
      </c>
      <c r="L771" s="1" t="s">
        <v>26</v>
      </c>
      <c r="M771" s="1" t="s">
        <v>33</v>
      </c>
      <c r="N771" s="1">
        <v>2.8</v>
      </c>
    </row>
    <row r="772" spans="1:14" x14ac:dyDescent="0.3">
      <c r="A772" s="1" t="s">
        <v>1571</v>
      </c>
      <c r="B772" s="1" t="s">
        <v>1572</v>
      </c>
      <c r="C772" s="1">
        <v>48</v>
      </c>
      <c r="D772" s="1" t="s">
        <v>16</v>
      </c>
      <c r="E772" s="1" t="s">
        <v>76</v>
      </c>
      <c r="F772" s="1" t="s">
        <v>39</v>
      </c>
      <c r="G772" s="9">
        <v>1286364.5</v>
      </c>
      <c r="H772" s="1">
        <v>2263006.91</v>
      </c>
      <c r="I772" s="1">
        <v>694</v>
      </c>
      <c r="J772" s="1">
        <v>155</v>
      </c>
      <c r="K772" s="1">
        <v>192579</v>
      </c>
      <c r="L772" s="1" t="s">
        <v>30</v>
      </c>
      <c r="M772" s="1" t="s">
        <v>20</v>
      </c>
      <c r="N772" s="1">
        <v>3.4</v>
      </c>
    </row>
    <row r="773" spans="1:14" x14ac:dyDescent="0.3">
      <c r="A773" s="1" t="s">
        <v>1573</v>
      </c>
      <c r="B773" s="1" t="s">
        <v>1574</v>
      </c>
      <c r="C773" s="1">
        <v>37</v>
      </c>
      <c r="D773" s="1" t="s">
        <v>16</v>
      </c>
      <c r="E773" s="1" t="s">
        <v>45</v>
      </c>
      <c r="F773" s="1" t="s">
        <v>39</v>
      </c>
      <c r="G773" s="9">
        <v>1011227.93</v>
      </c>
      <c r="H773" s="1">
        <v>1371866.65</v>
      </c>
      <c r="I773" s="1">
        <v>778</v>
      </c>
      <c r="J773" s="1">
        <v>91</v>
      </c>
      <c r="K773" s="1">
        <v>238196</v>
      </c>
      <c r="L773" s="1" t="s">
        <v>40</v>
      </c>
      <c r="M773" s="1" t="s">
        <v>20</v>
      </c>
      <c r="N773" s="1">
        <v>4.5999999999999996</v>
      </c>
    </row>
    <row r="774" spans="1:14" x14ac:dyDescent="0.3">
      <c r="A774" s="1" t="s">
        <v>1575</v>
      </c>
      <c r="B774" s="1" t="s">
        <v>1576</v>
      </c>
      <c r="C774" s="1">
        <v>28</v>
      </c>
      <c r="D774" s="1" t="s">
        <v>16</v>
      </c>
      <c r="E774" s="1" t="s">
        <v>38</v>
      </c>
      <c r="F774" s="1" t="s">
        <v>81</v>
      </c>
      <c r="G774" s="9">
        <v>1416593.77</v>
      </c>
      <c r="H774" s="1">
        <v>1749772.51</v>
      </c>
      <c r="I774" s="1">
        <v>408</v>
      </c>
      <c r="J774" s="1">
        <v>227</v>
      </c>
      <c r="K774" s="1">
        <v>217460</v>
      </c>
      <c r="L774" s="1" t="s">
        <v>30</v>
      </c>
      <c r="M774" s="1" t="s">
        <v>33</v>
      </c>
      <c r="N774" s="1">
        <v>5</v>
      </c>
    </row>
    <row r="775" spans="1:14" x14ac:dyDescent="0.3">
      <c r="A775" s="1" t="s">
        <v>1577</v>
      </c>
      <c r="B775" s="1" t="s">
        <v>1578</v>
      </c>
      <c r="C775" s="1">
        <v>32</v>
      </c>
      <c r="D775" s="1" t="s">
        <v>23</v>
      </c>
      <c r="E775" s="1" t="s">
        <v>29</v>
      </c>
      <c r="F775" s="1" t="s">
        <v>81</v>
      </c>
      <c r="G775" s="9">
        <v>390154.67</v>
      </c>
      <c r="H775" s="1">
        <v>1190755.79</v>
      </c>
      <c r="I775" s="1">
        <v>426</v>
      </c>
      <c r="J775" s="1">
        <v>345</v>
      </c>
      <c r="K775" s="1">
        <v>208527</v>
      </c>
      <c r="L775" s="1" t="s">
        <v>40</v>
      </c>
      <c r="M775" s="1" t="s">
        <v>20</v>
      </c>
      <c r="N775" s="1">
        <v>1.5</v>
      </c>
    </row>
    <row r="776" spans="1:14" x14ac:dyDescent="0.3">
      <c r="A776" s="1" t="s">
        <v>1579</v>
      </c>
      <c r="B776" s="1" t="s">
        <v>1580</v>
      </c>
      <c r="C776" s="1">
        <v>59</v>
      </c>
      <c r="D776" s="1" t="s">
        <v>23</v>
      </c>
      <c r="E776" s="1" t="s">
        <v>24</v>
      </c>
      <c r="F776" s="1" t="s">
        <v>39</v>
      </c>
      <c r="G776" s="9">
        <v>568630.43000000005</v>
      </c>
      <c r="H776" s="1">
        <v>1793606.84</v>
      </c>
      <c r="I776" s="1">
        <v>690</v>
      </c>
      <c r="J776" s="1">
        <v>339</v>
      </c>
      <c r="K776" s="1">
        <v>109974</v>
      </c>
      <c r="L776" s="1" t="s">
        <v>26</v>
      </c>
      <c r="M776" s="1" t="s">
        <v>20</v>
      </c>
      <c r="N776" s="1">
        <v>3.6</v>
      </c>
    </row>
    <row r="777" spans="1:14" x14ac:dyDescent="0.3">
      <c r="A777" s="1" t="s">
        <v>1581</v>
      </c>
      <c r="B777" s="1" t="s">
        <v>1582</v>
      </c>
      <c r="C777" s="1">
        <v>36</v>
      </c>
      <c r="D777" s="1" t="s">
        <v>23</v>
      </c>
      <c r="E777" s="1" t="s">
        <v>38</v>
      </c>
      <c r="F777" s="1" t="s">
        <v>81</v>
      </c>
      <c r="G777" s="9">
        <v>171516.87</v>
      </c>
      <c r="H777" s="1">
        <v>850594.63</v>
      </c>
      <c r="I777" s="1">
        <v>492</v>
      </c>
      <c r="J777" s="1">
        <v>386</v>
      </c>
      <c r="K777" s="1">
        <v>42984</v>
      </c>
      <c r="L777" s="1" t="s">
        <v>30</v>
      </c>
      <c r="M777" s="1" t="s">
        <v>20</v>
      </c>
      <c r="N777" s="1">
        <v>4.8</v>
      </c>
    </row>
    <row r="778" spans="1:14" x14ac:dyDescent="0.3">
      <c r="A778" s="1" t="s">
        <v>1583</v>
      </c>
      <c r="B778" s="1" t="s">
        <v>1584</v>
      </c>
      <c r="C778" s="1">
        <v>37</v>
      </c>
      <c r="D778" s="1" t="s">
        <v>23</v>
      </c>
      <c r="E778" s="1" t="s">
        <v>38</v>
      </c>
      <c r="F778" s="1" t="s">
        <v>39</v>
      </c>
      <c r="G778" s="9">
        <v>887139.38</v>
      </c>
      <c r="H778" s="1">
        <v>474644.19</v>
      </c>
      <c r="I778" s="1">
        <v>697</v>
      </c>
      <c r="J778" s="1">
        <v>221</v>
      </c>
      <c r="K778" s="1">
        <v>36222</v>
      </c>
      <c r="L778" s="1" t="s">
        <v>19</v>
      </c>
      <c r="M778" s="1" t="s">
        <v>33</v>
      </c>
      <c r="N778" s="1">
        <v>2.2999999999999998</v>
      </c>
    </row>
    <row r="779" spans="1:14" x14ac:dyDescent="0.3">
      <c r="A779" s="1" t="s">
        <v>1585</v>
      </c>
      <c r="B779" s="1" t="s">
        <v>1586</v>
      </c>
      <c r="C779" s="1">
        <v>18</v>
      </c>
      <c r="D779" s="1" t="s">
        <v>23</v>
      </c>
      <c r="E779" s="1" t="s">
        <v>38</v>
      </c>
      <c r="F779" s="1" t="s">
        <v>81</v>
      </c>
      <c r="G779" s="9">
        <v>1279281.23</v>
      </c>
      <c r="H779" s="1">
        <v>789815.56</v>
      </c>
      <c r="I779" s="1">
        <v>603</v>
      </c>
      <c r="J779" s="1">
        <v>433</v>
      </c>
      <c r="K779" s="1">
        <v>161110</v>
      </c>
      <c r="L779" s="1" t="s">
        <v>40</v>
      </c>
      <c r="M779" s="1" t="s">
        <v>20</v>
      </c>
      <c r="N779" s="1">
        <v>1.9</v>
      </c>
    </row>
    <row r="780" spans="1:14" x14ac:dyDescent="0.3">
      <c r="A780" s="1" t="s">
        <v>1587</v>
      </c>
      <c r="B780" s="1" t="s">
        <v>1588</v>
      </c>
      <c r="C780" s="1">
        <v>56</v>
      </c>
      <c r="D780" s="1" t="s">
        <v>23</v>
      </c>
      <c r="E780" s="1" t="s">
        <v>24</v>
      </c>
      <c r="F780" s="1" t="s">
        <v>25</v>
      </c>
      <c r="G780" s="9">
        <v>466792.68</v>
      </c>
      <c r="H780" s="1">
        <v>2475837.7799999998</v>
      </c>
      <c r="I780" s="1">
        <v>426</v>
      </c>
      <c r="J780" s="1">
        <v>145</v>
      </c>
      <c r="K780" s="1">
        <v>103922</v>
      </c>
      <c r="L780" s="1" t="s">
        <v>26</v>
      </c>
      <c r="M780" s="1" t="s">
        <v>33</v>
      </c>
      <c r="N780" s="1">
        <v>5</v>
      </c>
    </row>
    <row r="781" spans="1:14" x14ac:dyDescent="0.3">
      <c r="A781" s="1" t="s">
        <v>1589</v>
      </c>
      <c r="B781" s="1" t="s">
        <v>1590</v>
      </c>
      <c r="C781" s="1">
        <v>21</v>
      </c>
      <c r="D781" s="1" t="s">
        <v>16</v>
      </c>
      <c r="E781" s="1" t="s">
        <v>76</v>
      </c>
      <c r="F781" s="1" t="s">
        <v>39</v>
      </c>
      <c r="G781" s="9">
        <v>503051.1</v>
      </c>
      <c r="H781" s="1">
        <v>2069711.74</v>
      </c>
      <c r="I781" s="1">
        <v>515</v>
      </c>
      <c r="J781" s="1">
        <v>439</v>
      </c>
      <c r="K781" s="1">
        <v>232391</v>
      </c>
      <c r="L781" s="1" t="s">
        <v>30</v>
      </c>
      <c r="M781" s="1" t="s">
        <v>33</v>
      </c>
      <c r="N781" s="1">
        <v>3.9</v>
      </c>
    </row>
    <row r="782" spans="1:14" x14ac:dyDescent="0.3">
      <c r="A782" s="1" t="s">
        <v>1591</v>
      </c>
      <c r="B782" s="1" t="s">
        <v>1592</v>
      </c>
      <c r="C782" s="1">
        <v>37</v>
      </c>
      <c r="D782" s="1" t="s">
        <v>23</v>
      </c>
      <c r="E782" s="1" t="s">
        <v>45</v>
      </c>
      <c r="F782" s="1" t="s">
        <v>81</v>
      </c>
      <c r="G782" s="9">
        <v>990579.21</v>
      </c>
      <c r="H782" s="1">
        <v>2121295.62</v>
      </c>
      <c r="I782" s="1">
        <v>322</v>
      </c>
      <c r="J782" s="1">
        <v>285</v>
      </c>
      <c r="K782" s="1">
        <v>233650</v>
      </c>
      <c r="L782" s="1" t="s">
        <v>30</v>
      </c>
      <c r="M782" s="1" t="s">
        <v>33</v>
      </c>
      <c r="N782" s="1">
        <v>2.6</v>
      </c>
    </row>
    <row r="783" spans="1:14" x14ac:dyDescent="0.3">
      <c r="A783" s="1" t="s">
        <v>1593</v>
      </c>
      <c r="B783" s="1" t="s">
        <v>1594</v>
      </c>
      <c r="C783" s="1">
        <v>22</v>
      </c>
      <c r="D783" s="1" t="s">
        <v>23</v>
      </c>
      <c r="E783" s="1" t="s">
        <v>29</v>
      </c>
      <c r="F783" s="1" t="s">
        <v>39</v>
      </c>
      <c r="G783" s="9">
        <v>1091498.1299999999</v>
      </c>
      <c r="H783" s="1">
        <v>705910.21</v>
      </c>
      <c r="I783" s="1">
        <v>499</v>
      </c>
      <c r="J783" s="1">
        <v>363</v>
      </c>
      <c r="K783" s="1">
        <v>158371</v>
      </c>
      <c r="L783" s="1" t="s">
        <v>26</v>
      </c>
      <c r="M783" s="1" t="s">
        <v>20</v>
      </c>
      <c r="N783" s="1">
        <v>4.4000000000000004</v>
      </c>
    </row>
    <row r="784" spans="1:14" x14ac:dyDescent="0.3">
      <c r="A784" s="1" t="s">
        <v>1595</v>
      </c>
      <c r="B784" s="1" t="s">
        <v>1596</v>
      </c>
      <c r="C784" s="1">
        <v>63</v>
      </c>
      <c r="D784" s="1" t="s">
        <v>23</v>
      </c>
      <c r="E784" s="1" t="s">
        <v>38</v>
      </c>
      <c r="F784" s="1" t="s">
        <v>39</v>
      </c>
      <c r="G784" s="9">
        <v>689011.09</v>
      </c>
      <c r="H784" s="1">
        <v>409236.17</v>
      </c>
      <c r="I784" s="1">
        <v>440</v>
      </c>
      <c r="J784" s="1">
        <v>231</v>
      </c>
      <c r="K784" s="1">
        <v>99711</v>
      </c>
      <c r="L784" s="1" t="s">
        <v>40</v>
      </c>
      <c r="M784" s="1" t="s">
        <v>20</v>
      </c>
      <c r="N784" s="1">
        <v>3.8</v>
      </c>
    </row>
    <row r="785" spans="1:14" x14ac:dyDescent="0.3">
      <c r="A785" s="1" t="s">
        <v>1597</v>
      </c>
      <c r="B785" s="1" t="s">
        <v>1598</v>
      </c>
      <c r="C785" s="1">
        <v>65</v>
      </c>
      <c r="D785" s="1" t="s">
        <v>16</v>
      </c>
      <c r="E785" s="1" t="s">
        <v>17</v>
      </c>
      <c r="F785" s="1" t="s">
        <v>25</v>
      </c>
      <c r="G785" s="9">
        <v>18653.11</v>
      </c>
      <c r="H785" s="1">
        <v>1814893.78</v>
      </c>
      <c r="I785" s="1">
        <v>889</v>
      </c>
      <c r="J785" s="1">
        <v>57</v>
      </c>
      <c r="K785" s="1">
        <v>190718</v>
      </c>
      <c r="L785" s="1" t="s">
        <v>40</v>
      </c>
      <c r="M785" s="1" t="s">
        <v>20</v>
      </c>
      <c r="N785" s="1">
        <v>3.7</v>
      </c>
    </row>
    <row r="786" spans="1:14" x14ac:dyDescent="0.3">
      <c r="A786" s="1" t="s">
        <v>1599</v>
      </c>
      <c r="B786" s="1" t="s">
        <v>1600</v>
      </c>
      <c r="C786" s="1">
        <v>24</v>
      </c>
      <c r="D786" s="1" t="s">
        <v>23</v>
      </c>
      <c r="E786" s="1" t="s">
        <v>17</v>
      </c>
      <c r="F786" s="1" t="s">
        <v>39</v>
      </c>
      <c r="G786" s="9">
        <v>1461367.35</v>
      </c>
      <c r="H786" s="1">
        <v>449082.2</v>
      </c>
      <c r="I786" s="1">
        <v>353</v>
      </c>
      <c r="J786" s="1">
        <v>65</v>
      </c>
      <c r="K786" s="1">
        <v>113214</v>
      </c>
      <c r="L786" s="1" t="s">
        <v>30</v>
      </c>
      <c r="M786" s="1" t="s">
        <v>20</v>
      </c>
      <c r="N786" s="1">
        <v>4.9000000000000004</v>
      </c>
    </row>
    <row r="787" spans="1:14" x14ac:dyDescent="0.3">
      <c r="A787" s="1" t="s">
        <v>1601</v>
      </c>
      <c r="B787" s="1" t="s">
        <v>1602</v>
      </c>
      <c r="C787" s="1">
        <v>20</v>
      </c>
      <c r="D787" s="1" t="s">
        <v>16</v>
      </c>
      <c r="E787" s="1" t="s">
        <v>45</v>
      </c>
      <c r="F787" s="1" t="s">
        <v>25</v>
      </c>
      <c r="G787" s="9">
        <v>365078.85</v>
      </c>
      <c r="H787" s="1">
        <v>1221564.73</v>
      </c>
      <c r="I787" s="1">
        <v>476</v>
      </c>
      <c r="J787" s="1">
        <v>339</v>
      </c>
      <c r="K787" s="1">
        <v>51143</v>
      </c>
      <c r="L787" s="1" t="s">
        <v>26</v>
      </c>
      <c r="M787" s="1" t="s">
        <v>33</v>
      </c>
      <c r="N787" s="1">
        <v>4</v>
      </c>
    </row>
    <row r="788" spans="1:14" x14ac:dyDescent="0.3">
      <c r="A788" s="1" t="s">
        <v>1603</v>
      </c>
      <c r="B788" s="1" t="s">
        <v>1604</v>
      </c>
      <c r="C788" s="1">
        <v>41</v>
      </c>
      <c r="D788" s="1" t="s">
        <v>16</v>
      </c>
      <c r="E788" s="1" t="s">
        <v>76</v>
      </c>
      <c r="F788" s="1" t="s">
        <v>25</v>
      </c>
      <c r="G788" s="9">
        <v>184400.58</v>
      </c>
      <c r="H788" s="1">
        <v>206592.48</v>
      </c>
      <c r="I788" s="1">
        <v>800</v>
      </c>
      <c r="J788" s="1">
        <v>333</v>
      </c>
      <c r="K788" s="1">
        <v>23041</v>
      </c>
      <c r="L788" s="1" t="s">
        <v>26</v>
      </c>
      <c r="M788" s="1" t="s">
        <v>20</v>
      </c>
      <c r="N788" s="1">
        <v>3.7</v>
      </c>
    </row>
    <row r="789" spans="1:14" x14ac:dyDescent="0.3">
      <c r="A789" s="1" t="s">
        <v>1605</v>
      </c>
      <c r="B789" s="1" t="s">
        <v>1606</v>
      </c>
      <c r="C789" s="1">
        <v>68</v>
      </c>
      <c r="D789" s="1" t="s">
        <v>16</v>
      </c>
      <c r="E789" s="1" t="s">
        <v>48</v>
      </c>
      <c r="F789" s="1" t="s">
        <v>18</v>
      </c>
      <c r="G789" s="9">
        <v>275739.40999999997</v>
      </c>
      <c r="H789" s="1">
        <v>1210478.69</v>
      </c>
      <c r="I789" s="1">
        <v>744</v>
      </c>
      <c r="J789" s="1">
        <v>157</v>
      </c>
      <c r="K789" s="1">
        <v>175419</v>
      </c>
      <c r="L789" s="1" t="s">
        <v>40</v>
      </c>
      <c r="M789" s="1" t="s">
        <v>33</v>
      </c>
      <c r="N789" s="1">
        <v>3.3</v>
      </c>
    </row>
    <row r="790" spans="1:14" x14ac:dyDescent="0.3">
      <c r="A790" s="1" t="s">
        <v>1607</v>
      </c>
      <c r="B790" s="1" t="s">
        <v>1608</v>
      </c>
      <c r="C790" s="1">
        <v>70</v>
      </c>
      <c r="D790" s="1" t="s">
        <v>23</v>
      </c>
      <c r="E790" s="1" t="s">
        <v>29</v>
      </c>
      <c r="F790" s="1" t="s">
        <v>18</v>
      </c>
      <c r="G790" s="9">
        <v>34520.85</v>
      </c>
      <c r="H790" s="1">
        <v>1390150.41</v>
      </c>
      <c r="I790" s="1">
        <v>849</v>
      </c>
      <c r="J790" s="1">
        <v>406</v>
      </c>
      <c r="K790" s="1">
        <v>203695</v>
      </c>
      <c r="L790" s="1" t="s">
        <v>40</v>
      </c>
      <c r="M790" s="1" t="s">
        <v>20</v>
      </c>
      <c r="N790" s="1">
        <v>4.2</v>
      </c>
    </row>
    <row r="791" spans="1:14" x14ac:dyDescent="0.3">
      <c r="A791" s="1" t="s">
        <v>1609</v>
      </c>
      <c r="B791" s="1" t="s">
        <v>1610</v>
      </c>
      <c r="C791" s="1">
        <v>29</v>
      </c>
      <c r="D791" s="1" t="s">
        <v>16</v>
      </c>
      <c r="E791" s="1" t="s">
        <v>76</v>
      </c>
      <c r="F791" s="1" t="s">
        <v>39</v>
      </c>
      <c r="G791" s="9">
        <v>900658.4</v>
      </c>
      <c r="H791" s="1">
        <v>449843.89</v>
      </c>
      <c r="I791" s="1">
        <v>868</v>
      </c>
      <c r="J791" s="1">
        <v>233</v>
      </c>
      <c r="K791" s="1">
        <v>245969</v>
      </c>
      <c r="L791" s="1" t="s">
        <v>40</v>
      </c>
      <c r="M791" s="1" t="s">
        <v>20</v>
      </c>
      <c r="N791" s="1">
        <v>4.2</v>
      </c>
    </row>
    <row r="792" spans="1:14" x14ac:dyDescent="0.3">
      <c r="A792" s="1" t="s">
        <v>1611</v>
      </c>
      <c r="B792" s="1" t="s">
        <v>1612</v>
      </c>
      <c r="C792" s="1">
        <v>23</v>
      </c>
      <c r="D792" s="1" t="s">
        <v>23</v>
      </c>
      <c r="E792" s="1" t="s">
        <v>38</v>
      </c>
      <c r="F792" s="1" t="s">
        <v>25</v>
      </c>
      <c r="G792" s="9">
        <v>388856.92</v>
      </c>
      <c r="H792" s="1">
        <v>1882671.83</v>
      </c>
      <c r="I792" s="1">
        <v>386</v>
      </c>
      <c r="J792" s="1">
        <v>68</v>
      </c>
      <c r="K792" s="1">
        <v>167455</v>
      </c>
      <c r="L792" s="1" t="s">
        <v>19</v>
      </c>
      <c r="M792" s="1" t="s">
        <v>20</v>
      </c>
      <c r="N792" s="1">
        <v>3</v>
      </c>
    </row>
    <row r="793" spans="1:14" x14ac:dyDescent="0.3">
      <c r="A793" s="1" t="s">
        <v>1613</v>
      </c>
      <c r="B793" s="1" t="s">
        <v>1614</v>
      </c>
      <c r="C793" s="1">
        <v>37</v>
      </c>
      <c r="D793" s="1" t="s">
        <v>16</v>
      </c>
      <c r="E793" s="1" t="s">
        <v>45</v>
      </c>
      <c r="F793" s="1" t="s">
        <v>81</v>
      </c>
      <c r="G793" s="9">
        <v>1419590.85</v>
      </c>
      <c r="H793" s="1">
        <v>1298607.68</v>
      </c>
      <c r="I793" s="1">
        <v>600</v>
      </c>
      <c r="J793" s="1">
        <v>342</v>
      </c>
      <c r="K793" s="1">
        <v>32102</v>
      </c>
      <c r="L793" s="1" t="s">
        <v>26</v>
      </c>
      <c r="M793" s="1" t="s">
        <v>20</v>
      </c>
      <c r="N793" s="1">
        <v>3.1</v>
      </c>
    </row>
    <row r="794" spans="1:14" x14ac:dyDescent="0.3">
      <c r="A794" s="1" t="s">
        <v>1615</v>
      </c>
      <c r="B794" s="1" t="s">
        <v>1616</v>
      </c>
      <c r="C794" s="1">
        <v>62</v>
      </c>
      <c r="D794" s="1" t="s">
        <v>16</v>
      </c>
      <c r="E794" s="1" t="s">
        <v>38</v>
      </c>
      <c r="F794" s="1" t="s">
        <v>39</v>
      </c>
      <c r="G794" s="9">
        <v>995612.41</v>
      </c>
      <c r="H794" s="1">
        <v>111838.88</v>
      </c>
      <c r="I794" s="1">
        <v>337</v>
      </c>
      <c r="J794" s="1">
        <v>101</v>
      </c>
      <c r="K794" s="1">
        <v>45954</v>
      </c>
      <c r="L794" s="1" t="s">
        <v>26</v>
      </c>
      <c r="M794" s="1" t="s">
        <v>33</v>
      </c>
      <c r="N794" s="1">
        <v>1.6</v>
      </c>
    </row>
    <row r="795" spans="1:14" x14ac:dyDescent="0.3">
      <c r="A795" s="1" t="s">
        <v>1617</v>
      </c>
      <c r="B795" s="1" t="s">
        <v>1618</v>
      </c>
      <c r="C795" s="1">
        <v>26</v>
      </c>
      <c r="D795" s="1" t="s">
        <v>16</v>
      </c>
      <c r="E795" s="1" t="s">
        <v>17</v>
      </c>
      <c r="F795" s="1" t="s">
        <v>25</v>
      </c>
      <c r="G795" s="9">
        <v>935357.55</v>
      </c>
      <c r="H795" s="1">
        <v>185899.15</v>
      </c>
      <c r="I795" s="1">
        <v>561</v>
      </c>
      <c r="J795" s="1">
        <v>138</v>
      </c>
      <c r="K795" s="1">
        <v>211130</v>
      </c>
      <c r="L795" s="1" t="s">
        <v>19</v>
      </c>
      <c r="M795" s="1" t="s">
        <v>33</v>
      </c>
      <c r="N795" s="1">
        <v>2.5</v>
      </c>
    </row>
    <row r="796" spans="1:14" x14ac:dyDescent="0.3">
      <c r="A796" s="1" t="s">
        <v>1619</v>
      </c>
      <c r="B796" s="1" t="s">
        <v>1620</v>
      </c>
      <c r="C796" s="1">
        <v>61</v>
      </c>
      <c r="D796" s="1" t="s">
        <v>23</v>
      </c>
      <c r="E796" s="1" t="s">
        <v>24</v>
      </c>
      <c r="F796" s="1" t="s">
        <v>81</v>
      </c>
      <c r="G796" s="9">
        <v>1410598</v>
      </c>
      <c r="H796" s="1">
        <v>358109.88</v>
      </c>
      <c r="I796" s="1">
        <v>508</v>
      </c>
      <c r="J796" s="1">
        <v>41</v>
      </c>
      <c r="K796" s="1">
        <v>131501</v>
      </c>
      <c r="L796" s="1" t="s">
        <v>40</v>
      </c>
      <c r="M796" s="1" t="s">
        <v>33</v>
      </c>
      <c r="N796" s="1">
        <v>3.5</v>
      </c>
    </row>
    <row r="797" spans="1:14" x14ac:dyDescent="0.3">
      <c r="A797" s="1" t="s">
        <v>1621</v>
      </c>
      <c r="B797" s="1" t="s">
        <v>1622</v>
      </c>
      <c r="C797" s="1">
        <v>70</v>
      </c>
      <c r="D797" s="1" t="s">
        <v>16</v>
      </c>
      <c r="E797" s="1" t="s">
        <v>29</v>
      </c>
      <c r="F797" s="1" t="s">
        <v>81</v>
      </c>
      <c r="G797" s="9">
        <v>477958.71</v>
      </c>
      <c r="H797" s="1">
        <v>1969460.16</v>
      </c>
      <c r="I797" s="1">
        <v>688</v>
      </c>
      <c r="J797" s="1">
        <v>18</v>
      </c>
      <c r="K797" s="1">
        <v>60236</v>
      </c>
      <c r="L797" s="1" t="s">
        <v>19</v>
      </c>
      <c r="M797" s="1" t="s">
        <v>20</v>
      </c>
      <c r="N797" s="1">
        <v>4.9000000000000004</v>
      </c>
    </row>
    <row r="798" spans="1:14" x14ac:dyDescent="0.3">
      <c r="A798" s="1" t="s">
        <v>1623</v>
      </c>
      <c r="B798" s="1" t="s">
        <v>1624</v>
      </c>
      <c r="C798" s="1">
        <v>61</v>
      </c>
      <c r="D798" s="1" t="s">
        <v>23</v>
      </c>
      <c r="E798" s="1" t="s">
        <v>38</v>
      </c>
      <c r="F798" s="1" t="s">
        <v>39</v>
      </c>
      <c r="G798" s="9">
        <v>613137.99</v>
      </c>
      <c r="H798" s="1">
        <v>823393.77</v>
      </c>
      <c r="I798" s="1">
        <v>391</v>
      </c>
      <c r="J798" s="1">
        <v>190</v>
      </c>
      <c r="K798" s="1">
        <v>163751</v>
      </c>
      <c r="L798" s="1" t="s">
        <v>26</v>
      </c>
      <c r="M798" s="1" t="s">
        <v>20</v>
      </c>
      <c r="N798" s="1">
        <v>4.5999999999999996</v>
      </c>
    </row>
    <row r="799" spans="1:14" x14ac:dyDescent="0.3">
      <c r="A799" s="1" t="s">
        <v>1625</v>
      </c>
      <c r="B799" s="1" t="s">
        <v>1626</v>
      </c>
      <c r="C799" s="1">
        <v>24</v>
      </c>
      <c r="D799" s="1" t="s">
        <v>16</v>
      </c>
      <c r="E799" s="1" t="s">
        <v>55</v>
      </c>
      <c r="F799" s="1" t="s">
        <v>25</v>
      </c>
      <c r="G799" s="9">
        <v>1469330.39</v>
      </c>
      <c r="H799" s="1">
        <v>555563.93000000005</v>
      </c>
      <c r="I799" s="1">
        <v>407</v>
      </c>
      <c r="J799" s="1">
        <v>405</v>
      </c>
      <c r="K799" s="1">
        <v>118869</v>
      </c>
      <c r="L799" s="1" t="s">
        <v>19</v>
      </c>
      <c r="M799" s="1" t="s">
        <v>33</v>
      </c>
      <c r="N799" s="1">
        <v>4.7</v>
      </c>
    </row>
    <row r="800" spans="1:14" x14ac:dyDescent="0.3">
      <c r="A800" s="1" t="s">
        <v>1627</v>
      </c>
      <c r="B800" s="1" t="s">
        <v>1628</v>
      </c>
      <c r="C800" s="1">
        <v>62</v>
      </c>
      <c r="D800" s="1" t="s">
        <v>23</v>
      </c>
      <c r="E800" s="1" t="s">
        <v>17</v>
      </c>
      <c r="F800" s="1" t="s">
        <v>39</v>
      </c>
      <c r="G800" s="9">
        <v>1298770.53</v>
      </c>
      <c r="H800" s="1">
        <v>1378855.58</v>
      </c>
      <c r="I800" s="1">
        <v>401</v>
      </c>
      <c r="J800" s="1">
        <v>464</v>
      </c>
      <c r="K800" s="1">
        <v>169987</v>
      </c>
      <c r="L800" s="1" t="s">
        <v>26</v>
      </c>
      <c r="M800" s="1" t="s">
        <v>33</v>
      </c>
      <c r="N800" s="1">
        <v>1.2</v>
      </c>
    </row>
    <row r="801" spans="1:14" x14ac:dyDescent="0.3">
      <c r="A801" s="1" t="s">
        <v>1629</v>
      </c>
      <c r="B801" s="1" t="s">
        <v>1630</v>
      </c>
      <c r="C801" s="1">
        <v>48</v>
      </c>
      <c r="D801" s="1" t="s">
        <v>16</v>
      </c>
      <c r="E801" s="1" t="s">
        <v>38</v>
      </c>
      <c r="F801" s="1" t="s">
        <v>25</v>
      </c>
      <c r="G801" s="9">
        <v>195720.44</v>
      </c>
      <c r="H801" s="1">
        <v>23743.67</v>
      </c>
      <c r="I801" s="1">
        <v>825</v>
      </c>
      <c r="J801" s="1">
        <v>370</v>
      </c>
      <c r="K801" s="1">
        <v>175270</v>
      </c>
      <c r="L801" s="1" t="s">
        <v>26</v>
      </c>
      <c r="M801" s="1" t="s">
        <v>20</v>
      </c>
      <c r="N801" s="1">
        <v>1.6</v>
      </c>
    </row>
    <row r="802" spans="1:14" x14ac:dyDescent="0.3">
      <c r="A802" s="1" t="s">
        <v>1631</v>
      </c>
      <c r="B802" s="1" t="s">
        <v>1632</v>
      </c>
      <c r="C802" s="1">
        <v>64</v>
      </c>
      <c r="D802" s="1" t="s">
        <v>23</v>
      </c>
      <c r="E802" s="1" t="s">
        <v>38</v>
      </c>
      <c r="F802" s="1" t="s">
        <v>25</v>
      </c>
      <c r="G802" s="9">
        <v>1461877.27</v>
      </c>
      <c r="H802" s="1">
        <v>1768756.04</v>
      </c>
      <c r="I802" s="1">
        <v>555</v>
      </c>
      <c r="J802" s="1">
        <v>352</v>
      </c>
      <c r="K802" s="1">
        <v>187560</v>
      </c>
      <c r="L802" s="1" t="s">
        <v>26</v>
      </c>
      <c r="M802" s="1" t="s">
        <v>33</v>
      </c>
      <c r="N802" s="1">
        <v>3.4</v>
      </c>
    </row>
    <row r="803" spans="1:14" x14ac:dyDescent="0.3">
      <c r="A803" s="1" t="s">
        <v>1633</v>
      </c>
      <c r="B803" s="1" t="s">
        <v>1634</v>
      </c>
      <c r="C803" s="1">
        <v>50</v>
      </c>
      <c r="D803" s="1" t="s">
        <v>16</v>
      </c>
      <c r="E803" s="1" t="s">
        <v>55</v>
      </c>
      <c r="F803" s="1" t="s">
        <v>25</v>
      </c>
      <c r="G803" s="9">
        <v>417355.35</v>
      </c>
      <c r="H803" s="1">
        <v>1069412.71</v>
      </c>
      <c r="I803" s="1">
        <v>534</v>
      </c>
      <c r="J803" s="1">
        <v>161</v>
      </c>
      <c r="K803" s="1">
        <v>95188</v>
      </c>
      <c r="L803" s="1" t="s">
        <v>26</v>
      </c>
      <c r="M803" s="1" t="s">
        <v>20</v>
      </c>
      <c r="N803" s="1">
        <v>3.5</v>
      </c>
    </row>
    <row r="804" spans="1:14" x14ac:dyDescent="0.3">
      <c r="A804" s="1" t="s">
        <v>1635</v>
      </c>
      <c r="B804" s="1" t="s">
        <v>1636</v>
      </c>
      <c r="C804" s="1">
        <v>58</v>
      </c>
      <c r="D804" s="1" t="s">
        <v>16</v>
      </c>
      <c r="E804" s="1" t="s">
        <v>55</v>
      </c>
      <c r="F804" s="1" t="s">
        <v>25</v>
      </c>
      <c r="G804" s="9">
        <v>119656.35</v>
      </c>
      <c r="H804" s="1">
        <v>600091.85</v>
      </c>
      <c r="I804" s="1">
        <v>395</v>
      </c>
      <c r="J804" s="1">
        <v>89</v>
      </c>
      <c r="K804" s="1">
        <v>40833</v>
      </c>
      <c r="L804" s="1" t="s">
        <v>19</v>
      </c>
      <c r="M804" s="1" t="s">
        <v>33</v>
      </c>
      <c r="N804" s="1">
        <v>3.3</v>
      </c>
    </row>
    <row r="805" spans="1:14" x14ac:dyDescent="0.3">
      <c r="A805" s="1" t="s">
        <v>1637</v>
      </c>
      <c r="B805" s="1" t="s">
        <v>1638</v>
      </c>
      <c r="C805" s="1">
        <v>61</v>
      </c>
      <c r="D805" s="1" t="s">
        <v>16</v>
      </c>
      <c r="E805" s="1" t="s">
        <v>17</v>
      </c>
      <c r="F805" s="1" t="s">
        <v>18</v>
      </c>
      <c r="G805" s="9">
        <v>1398999.92</v>
      </c>
      <c r="H805" s="1">
        <v>341070.96</v>
      </c>
      <c r="I805" s="1">
        <v>809</v>
      </c>
      <c r="J805" s="1">
        <v>268</v>
      </c>
      <c r="K805" s="1">
        <v>153348</v>
      </c>
      <c r="L805" s="1" t="s">
        <v>40</v>
      </c>
      <c r="M805" s="1" t="s">
        <v>20</v>
      </c>
      <c r="N805" s="1">
        <v>3.7</v>
      </c>
    </row>
    <row r="806" spans="1:14" x14ac:dyDescent="0.3">
      <c r="A806" s="1" t="s">
        <v>1639</v>
      </c>
      <c r="B806" s="1" t="s">
        <v>1640</v>
      </c>
      <c r="C806" s="1">
        <v>63</v>
      </c>
      <c r="D806" s="1" t="s">
        <v>16</v>
      </c>
      <c r="E806" s="1" t="s">
        <v>45</v>
      </c>
      <c r="F806" s="1" t="s">
        <v>39</v>
      </c>
      <c r="G806" s="9">
        <v>1055374.6100000001</v>
      </c>
      <c r="H806" s="1">
        <v>1874169.88</v>
      </c>
      <c r="I806" s="1">
        <v>550</v>
      </c>
      <c r="J806" s="1">
        <v>383</v>
      </c>
      <c r="K806" s="1">
        <v>131405</v>
      </c>
      <c r="L806" s="1" t="s">
        <v>40</v>
      </c>
      <c r="M806" s="1" t="s">
        <v>20</v>
      </c>
      <c r="N806" s="1">
        <v>3.6</v>
      </c>
    </row>
    <row r="807" spans="1:14" x14ac:dyDescent="0.3">
      <c r="A807" s="1" t="s">
        <v>1641</v>
      </c>
      <c r="B807" s="1" t="s">
        <v>1642</v>
      </c>
      <c r="C807" s="1">
        <v>22</v>
      </c>
      <c r="D807" s="1" t="s">
        <v>16</v>
      </c>
      <c r="E807" s="1" t="s">
        <v>48</v>
      </c>
      <c r="F807" s="1" t="s">
        <v>18</v>
      </c>
      <c r="G807" s="9">
        <v>1259916.3600000001</v>
      </c>
      <c r="H807" s="1">
        <v>1284211.21</v>
      </c>
      <c r="I807" s="1">
        <v>352</v>
      </c>
      <c r="J807" s="1">
        <v>221</v>
      </c>
      <c r="K807" s="1">
        <v>116220</v>
      </c>
      <c r="L807" s="1" t="s">
        <v>26</v>
      </c>
      <c r="M807" s="1" t="s">
        <v>20</v>
      </c>
      <c r="N807" s="1">
        <v>3</v>
      </c>
    </row>
    <row r="808" spans="1:14" x14ac:dyDescent="0.3">
      <c r="A808" s="1" t="s">
        <v>1643</v>
      </c>
      <c r="B808" s="1" t="s">
        <v>1644</v>
      </c>
      <c r="C808" s="1">
        <v>52</v>
      </c>
      <c r="D808" s="1" t="s">
        <v>16</v>
      </c>
      <c r="E808" s="1" t="s">
        <v>76</v>
      </c>
      <c r="F808" s="1" t="s">
        <v>25</v>
      </c>
      <c r="G808" s="9">
        <v>1150788.8</v>
      </c>
      <c r="H808" s="1">
        <v>294663.5</v>
      </c>
      <c r="I808" s="1">
        <v>606</v>
      </c>
      <c r="J808" s="1">
        <v>252</v>
      </c>
      <c r="K808" s="1">
        <v>243026</v>
      </c>
      <c r="L808" s="1" t="s">
        <v>40</v>
      </c>
      <c r="M808" s="1" t="s">
        <v>33</v>
      </c>
      <c r="N808" s="1">
        <v>2.2000000000000002</v>
      </c>
    </row>
    <row r="809" spans="1:14" x14ac:dyDescent="0.3">
      <c r="A809" s="1" t="s">
        <v>1645</v>
      </c>
      <c r="B809" s="1" t="s">
        <v>1646</v>
      </c>
      <c r="C809" s="1">
        <v>59</v>
      </c>
      <c r="D809" s="1" t="s">
        <v>23</v>
      </c>
      <c r="E809" s="1" t="s">
        <v>76</v>
      </c>
      <c r="F809" s="1" t="s">
        <v>81</v>
      </c>
      <c r="G809" s="9">
        <v>1239462.44</v>
      </c>
      <c r="H809" s="1">
        <v>88572.82</v>
      </c>
      <c r="I809" s="1">
        <v>774</v>
      </c>
      <c r="J809" s="1">
        <v>461</v>
      </c>
      <c r="K809" s="1">
        <v>155142</v>
      </c>
      <c r="L809" s="1" t="s">
        <v>19</v>
      </c>
      <c r="M809" s="1" t="s">
        <v>33</v>
      </c>
      <c r="N809" s="1">
        <v>3.5</v>
      </c>
    </row>
    <row r="810" spans="1:14" x14ac:dyDescent="0.3">
      <c r="A810" s="1" t="s">
        <v>1647</v>
      </c>
      <c r="B810" s="1" t="s">
        <v>1648</v>
      </c>
      <c r="C810" s="1">
        <v>39</v>
      </c>
      <c r="D810" s="1" t="s">
        <v>16</v>
      </c>
      <c r="E810" s="1" t="s">
        <v>17</v>
      </c>
      <c r="F810" s="1" t="s">
        <v>25</v>
      </c>
      <c r="G810" s="9">
        <v>534069.65</v>
      </c>
      <c r="H810" s="1">
        <v>12886.03</v>
      </c>
      <c r="I810" s="1">
        <v>490</v>
      </c>
      <c r="J810" s="1">
        <v>210</v>
      </c>
      <c r="K810" s="1">
        <v>98210</v>
      </c>
      <c r="L810" s="1" t="s">
        <v>40</v>
      </c>
      <c r="M810" s="1" t="s">
        <v>20</v>
      </c>
      <c r="N810" s="1">
        <v>2.4</v>
      </c>
    </row>
    <row r="811" spans="1:14" x14ac:dyDescent="0.3">
      <c r="A811" s="1" t="s">
        <v>1649</v>
      </c>
      <c r="B811" s="1" t="s">
        <v>1650</v>
      </c>
      <c r="C811" s="1">
        <v>51</v>
      </c>
      <c r="D811" s="1" t="s">
        <v>23</v>
      </c>
      <c r="E811" s="1" t="s">
        <v>24</v>
      </c>
      <c r="F811" s="1" t="s">
        <v>25</v>
      </c>
      <c r="G811" s="9">
        <v>1348272.39</v>
      </c>
      <c r="H811" s="1">
        <v>1026797.63</v>
      </c>
      <c r="I811" s="1">
        <v>799</v>
      </c>
      <c r="J811" s="1">
        <v>8</v>
      </c>
      <c r="K811" s="1">
        <v>154825</v>
      </c>
      <c r="L811" s="1" t="s">
        <v>30</v>
      </c>
      <c r="M811" s="1" t="s">
        <v>33</v>
      </c>
      <c r="N811" s="1">
        <v>1.6</v>
      </c>
    </row>
    <row r="812" spans="1:14" x14ac:dyDescent="0.3">
      <c r="A812" s="1" t="s">
        <v>1651</v>
      </c>
      <c r="B812" s="1" t="s">
        <v>1652</v>
      </c>
      <c r="C812" s="1">
        <v>37</v>
      </c>
      <c r="D812" s="1" t="s">
        <v>23</v>
      </c>
      <c r="E812" s="1" t="s">
        <v>38</v>
      </c>
      <c r="F812" s="1" t="s">
        <v>39</v>
      </c>
      <c r="G812" s="9">
        <v>645370.5</v>
      </c>
      <c r="H812" s="1">
        <v>455455.1</v>
      </c>
      <c r="I812" s="1">
        <v>575</v>
      </c>
      <c r="J812" s="1">
        <v>60</v>
      </c>
      <c r="K812" s="1">
        <v>115550</v>
      </c>
      <c r="L812" s="1" t="s">
        <v>26</v>
      </c>
      <c r="M812" s="1" t="s">
        <v>33</v>
      </c>
      <c r="N812" s="1">
        <v>5</v>
      </c>
    </row>
    <row r="813" spans="1:14" x14ac:dyDescent="0.3">
      <c r="A813" s="1" t="s">
        <v>1653</v>
      </c>
      <c r="B813" s="1" t="s">
        <v>1654</v>
      </c>
      <c r="C813" s="1">
        <v>18</v>
      </c>
      <c r="D813" s="1" t="s">
        <v>16</v>
      </c>
      <c r="E813" s="1" t="s">
        <v>17</v>
      </c>
      <c r="F813" s="1" t="s">
        <v>25</v>
      </c>
      <c r="G813" s="9">
        <v>1325946.52</v>
      </c>
      <c r="H813" s="1">
        <v>1773048.59</v>
      </c>
      <c r="I813" s="1">
        <v>413</v>
      </c>
      <c r="J813" s="1">
        <v>102</v>
      </c>
      <c r="K813" s="1">
        <v>114171</v>
      </c>
      <c r="L813" s="1" t="s">
        <v>26</v>
      </c>
      <c r="M813" s="1" t="s">
        <v>20</v>
      </c>
      <c r="N813" s="1">
        <v>2.1</v>
      </c>
    </row>
    <row r="814" spans="1:14" x14ac:dyDescent="0.3">
      <c r="A814" s="1" t="s">
        <v>1655</v>
      </c>
      <c r="B814" s="1" t="s">
        <v>1656</v>
      </c>
      <c r="C814" s="1">
        <v>28</v>
      </c>
      <c r="D814" s="1" t="s">
        <v>23</v>
      </c>
      <c r="E814" s="1" t="s">
        <v>38</v>
      </c>
      <c r="F814" s="1" t="s">
        <v>81</v>
      </c>
      <c r="G814" s="9">
        <v>302492.93</v>
      </c>
      <c r="H814" s="1">
        <v>1198237.46</v>
      </c>
      <c r="I814" s="1">
        <v>572</v>
      </c>
      <c r="J814" s="1">
        <v>65</v>
      </c>
      <c r="K814" s="1">
        <v>194641</v>
      </c>
      <c r="L814" s="1" t="s">
        <v>30</v>
      </c>
      <c r="M814" s="1" t="s">
        <v>33</v>
      </c>
      <c r="N814" s="1">
        <v>2.7</v>
      </c>
    </row>
    <row r="815" spans="1:14" x14ac:dyDescent="0.3">
      <c r="A815" s="1" t="s">
        <v>1657</v>
      </c>
      <c r="B815" s="1" t="s">
        <v>1658</v>
      </c>
      <c r="C815" s="1">
        <v>26</v>
      </c>
      <c r="D815" s="1" t="s">
        <v>16</v>
      </c>
      <c r="E815" s="1" t="s">
        <v>24</v>
      </c>
      <c r="F815" s="1" t="s">
        <v>18</v>
      </c>
      <c r="G815" s="9">
        <v>1436729.5</v>
      </c>
      <c r="H815" s="1">
        <v>1981782.39</v>
      </c>
      <c r="I815" s="1">
        <v>429</v>
      </c>
      <c r="J815" s="1">
        <v>84</v>
      </c>
      <c r="K815" s="1">
        <v>48765</v>
      </c>
      <c r="L815" s="1" t="s">
        <v>26</v>
      </c>
      <c r="M815" s="1" t="s">
        <v>33</v>
      </c>
      <c r="N815" s="1">
        <v>2.4</v>
      </c>
    </row>
    <row r="816" spans="1:14" x14ac:dyDescent="0.3">
      <c r="A816" s="1" t="s">
        <v>1659</v>
      </c>
      <c r="B816" s="1" t="s">
        <v>1660</v>
      </c>
      <c r="C816" s="1">
        <v>56</v>
      </c>
      <c r="D816" s="1" t="s">
        <v>23</v>
      </c>
      <c r="E816" s="1" t="s">
        <v>24</v>
      </c>
      <c r="F816" s="1" t="s">
        <v>39</v>
      </c>
      <c r="G816" s="9">
        <v>17003.189999999999</v>
      </c>
      <c r="H816" s="1">
        <v>1200482.53</v>
      </c>
      <c r="I816" s="1">
        <v>588</v>
      </c>
      <c r="J816" s="1">
        <v>253</v>
      </c>
      <c r="K816" s="1">
        <v>213313</v>
      </c>
      <c r="L816" s="1" t="s">
        <v>40</v>
      </c>
      <c r="M816" s="1" t="s">
        <v>20</v>
      </c>
      <c r="N816" s="1">
        <v>1.3</v>
      </c>
    </row>
    <row r="817" spans="1:14" x14ac:dyDescent="0.3">
      <c r="A817" s="1" t="s">
        <v>1661</v>
      </c>
      <c r="B817" s="1" t="s">
        <v>1662</v>
      </c>
      <c r="C817" s="1">
        <v>35</v>
      </c>
      <c r="D817" s="1" t="s">
        <v>16</v>
      </c>
      <c r="E817" s="1" t="s">
        <v>45</v>
      </c>
      <c r="F817" s="1" t="s">
        <v>18</v>
      </c>
      <c r="G817" s="9">
        <v>176954.89</v>
      </c>
      <c r="H817" s="1">
        <v>658826.82999999996</v>
      </c>
      <c r="I817" s="1">
        <v>553</v>
      </c>
      <c r="J817" s="1">
        <v>346</v>
      </c>
      <c r="K817" s="1">
        <v>220993</v>
      </c>
      <c r="L817" s="1" t="s">
        <v>40</v>
      </c>
      <c r="M817" s="1" t="s">
        <v>20</v>
      </c>
      <c r="N817" s="1">
        <v>4.3</v>
      </c>
    </row>
    <row r="818" spans="1:14" x14ac:dyDescent="0.3">
      <c r="A818" s="1" t="s">
        <v>1663</v>
      </c>
      <c r="B818" s="1" t="s">
        <v>1664</v>
      </c>
      <c r="C818" s="1">
        <v>55</v>
      </c>
      <c r="D818" s="1" t="s">
        <v>16</v>
      </c>
      <c r="E818" s="1" t="s">
        <v>38</v>
      </c>
      <c r="F818" s="1" t="s">
        <v>25</v>
      </c>
      <c r="G818" s="9">
        <v>953543.4</v>
      </c>
      <c r="H818" s="1">
        <v>573460.47999999998</v>
      </c>
      <c r="I818" s="1">
        <v>435</v>
      </c>
      <c r="J818" s="1">
        <v>210</v>
      </c>
      <c r="K818" s="1">
        <v>184864</v>
      </c>
      <c r="L818" s="1" t="s">
        <v>19</v>
      </c>
      <c r="M818" s="1" t="s">
        <v>20</v>
      </c>
      <c r="N818" s="1">
        <v>1.2</v>
      </c>
    </row>
    <row r="819" spans="1:14" x14ac:dyDescent="0.3">
      <c r="A819" s="1" t="s">
        <v>1665</v>
      </c>
      <c r="B819" s="1" t="s">
        <v>1666</v>
      </c>
      <c r="C819" s="1">
        <v>23</v>
      </c>
      <c r="D819" s="1" t="s">
        <v>16</v>
      </c>
      <c r="E819" s="1" t="s">
        <v>24</v>
      </c>
      <c r="F819" s="1" t="s">
        <v>81</v>
      </c>
      <c r="G819" s="9">
        <v>81178.27</v>
      </c>
      <c r="H819" s="1">
        <v>1018242.98</v>
      </c>
      <c r="I819" s="1">
        <v>613</v>
      </c>
      <c r="J819" s="1">
        <v>363</v>
      </c>
      <c r="K819" s="1">
        <v>246584</v>
      </c>
      <c r="L819" s="1" t="s">
        <v>30</v>
      </c>
      <c r="M819" s="1" t="s">
        <v>33</v>
      </c>
      <c r="N819" s="1">
        <v>3.5</v>
      </c>
    </row>
    <row r="820" spans="1:14" x14ac:dyDescent="0.3">
      <c r="A820" s="1" t="s">
        <v>1667</v>
      </c>
      <c r="B820" s="1" t="s">
        <v>1668</v>
      </c>
      <c r="C820" s="1">
        <v>21</v>
      </c>
      <c r="D820" s="1" t="s">
        <v>23</v>
      </c>
      <c r="E820" s="1" t="s">
        <v>17</v>
      </c>
      <c r="F820" s="1" t="s">
        <v>39</v>
      </c>
      <c r="G820" s="9">
        <v>643473.88</v>
      </c>
      <c r="H820" s="1">
        <v>129138.72</v>
      </c>
      <c r="I820" s="1">
        <v>412</v>
      </c>
      <c r="J820" s="1">
        <v>142</v>
      </c>
      <c r="K820" s="1">
        <v>153657</v>
      </c>
      <c r="L820" s="1" t="s">
        <v>26</v>
      </c>
      <c r="M820" s="1" t="s">
        <v>20</v>
      </c>
      <c r="N820" s="1">
        <v>2.5</v>
      </c>
    </row>
    <row r="821" spans="1:14" x14ac:dyDescent="0.3">
      <c r="A821" s="1" t="s">
        <v>1669</v>
      </c>
      <c r="B821" s="1" t="s">
        <v>1670</v>
      </c>
      <c r="C821" s="1">
        <v>29</v>
      </c>
      <c r="D821" s="1" t="s">
        <v>23</v>
      </c>
      <c r="E821" s="1" t="s">
        <v>29</v>
      </c>
      <c r="F821" s="1" t="s">
        <v>25</v>
      </c>
      <c r="G821" s="9">
        <v>5801.21</v>
      </c>
      <c r="H821" s="1">
        <v>1651076.89</v>
      </c>
      <c r="I821" s="1">
        <v>629</v>
      </c>
      <c r="J821" s="1">
        <v>113</v>
      </c>
      <c r="K821" s="1">
        <v>30718</v>
      </c>
      <c r="L821" s="1" t="s">
        <v>40</v>
      </c>
      <c r="M821" s="1" t="s">
        <v>33</v>
      </c>
      <c r="N821" s="1">
        <v>2.1</v>
      </c>
    </row>
    <row r="822" spans="1:14" x14ac:dyDescent="0.3">
      <c r="A822" s="1" t="s">
        <v>1671</v>
      </c>
      <c r="B822" s="1" t="s">
        <v>1672</v>
      </c>
      <c r="C822" s="1">
        <v>49</v>
      </c>
      <c r="D822" s="1" t="s">
        <v>16</v>
      </c>
      <c r="E822" s="1" t="s">
        <v>48</v>
      </c>
      <c r="F822" s="1" t="s">
        <v>81</v>
      </c>
      <c r="G822" s="9">
        <v>504751.81</v>
      </c>
      <c r="H822" s="1">
        <v>278821.53000000003</v>
      </c>
      <c r="I822" s="1">
        <v>313</v>
      </c>
      <c r="J822" s="1">
        <v>354</v>
      </c>
      <c r="K822" s="1">
        <v>115310</v>
      </c>
      <c r="L822" s="1" t="s">
        <v>26</v>
      </c>
      <c r="M822" s="1" t="s">
        <v>33</v>
      </c>
      <c r="N822" s="1">
        <v>3.2</v>
      </c>
    </row>
    <row r="823" spans="1:14" x14ac:dyDescent="0.3">
      <c r="A823" s="1" t="s">
        <v>1673</v>
      </c>
      <c r="B823" s="1" t="s">
        <v>1674</v>
      </c>
      <c r="C823" s="1">
        <v>33</v>
      </c>
      <c r="D823" s="1" t="s">
        <v>16</v>
      </c>
      <c r="E823" s="1" t="s">
        <v>76</v>
      </c>
      <c r="F823" s="1" t="s">
        <v>39</v>
      </c>
      <c r="G823" s="9">
        <v>417540.69</v>
      </c>
      <c r="H823" s="1">
        <v>1460818.04</v>
      </c>
      <c r="I823" s="1">
        <v>389</v>
      </c>
      <c r="J823" s="1">
        <v>459</v>
      </c>
      <c r="K823" s="1">
        <v>190458</v>
      </c>
      <c r="L823" s="1" t="s">
        <v>40</v>
      </c>
      <c r="M823" s="1" t="s">
        <v>33</v>
      </c>
      <c r="N823" s="1">
        <v>1.4</v>
      </c>
    </row>
    <row r="824" spans="1:14" x14ac:dyDescent="0.3">
      <c r="A824" s="1" t="s">
        <v>1675</v>
      </c>
      <c r="B824" s="1" t="s">
        <v>1676</v>
      </c>
      <c r="C824" s="1">
        <v>24</v>
      </c>
      <c r="D824" s="1" t="s">
        <v>16</v>
      </c>
      <c r="E824" s="1" t="s">
        <v>38</v>
      </c>
      <c r="F824" s="1" t="s">
        <v>18</v>
      </c>
      <c r="G824" s="9">
        <v>1413017.91</v>
      </c>
      <c r="H824" s="1">
        <v>1547525.92</v>
      </c>
      <c r="I824" s="1">
        <v>608</v>
      </c>
      <c r="J824" s="1">
        <v>376</v>
      </c>
      <c r="K824" s="1">
        <v>39629</v>
      </c>
      <c r="L824" s="1" t="s">
        <v>40</v>
      </c>
      <c r="M824" s="1" t="s">
        <v>20</v>
      </c>
      <c r="N824" s="1">
        <v>2.9</v>
      </c>
    </row>
    <row r="825" spans="1:14" x14ac:dyDescent="0.3">
      <c r="A825" s="1" t="s">
        <v>1677</v>
      </c>
      <c r="B825" s="1" t="s">
        <v>1678</v>
      </c>
      <c r="C825" s="1">
        <v>44</v>
      </c>
      <c r="D825" s="1" t="s">
        <v>23</v>
      </c>
      <c r="E825" s="1" t="s">
        <v>29</v>
      </c>
      <c r="F825" s="1" t="s">
        <v>25</v>
      </c>
      <c r="G825" s="9">
        <v>1068846.68</v>
      </c>
      <c r="H825" s="1">
        <v>2228966.63</v>
      </c>
      <c r="I825" s="1">
        <v>873</v>
      </c>
      <c r="J825" s="1">
        <v>182</v>
      </c>
      <c r="K825" s="1">
        <v>164309</v>
      </c>
      <c r="L825" s="1" t="s">
        <v>19</v>
      </c>
      <c r="M825" s="1" t="s">
        <v>33</v>
      </c>
      <c r="N825" s="1">
        <v>4.5999999999999996</v>
      </c>
    </row>
    <row r="826" spans="1:14" x14ac:dyDescent="0.3">
      <c r="A826" s="1" t="s">
        <v>1679</v>
      </c>
      <c r="B826" s="1" t="s">
        <v>1680</v>
      </c>
      <c r="C826" s="1">
        <v>44</v>
      </c>
      <c r="D826" s="1" t="s">
        <v>16</v>
      </c>
      <c r="E826" s="1" t="s">
        <v>55</v>
      </c>
      <c r="F826" s="1" t="s">
        <v>18</v>
      </c>
      <c r="G826" s="9">
        <v>1397341.83</v>
      </c>
      <c r="H826" s="1">
        <v>1259673.57</v>
      </c>
      <c r="I826" s="1">
        <v>322</v>
      </c>
      <c r="J826" s="1">
        <v>90</v>
      </c>
      <c r="K826" s="1">
        <v>157301</v>
      </c>
      <c r="L826" s="1" t="s">
        <v>19</v>
      </c>
      <c r="M826" s="1" t="s">
        <v>20</v>
      </c>
      <c r="N826" s="1">
        <v>3.4</v>
      </c>
    </row>
    <row r="827" spans="1:14" x14ac:dyDescent="0.3">
      <c r="A827" s="1" t="s">
        <v>1681</v>
      </c>
      <c r="B827" s="1" t="s">
        <v>1682</v>
      </c>
      <c r="C827" s="1">
        <v>65</v>
      </c>
      <c r="D827" s="1" t="s">
        <v>23</v>
      </c>
      <c r="E827" s="1" t="s">
        <v>17</v>
      </c>
      <c r="F827" s="1" t="s">
        <v>25</v>
      </c>
      <c r="G827" s="9">
        <v>599253.27</v>
      </c>
      <c r="H827" s="1">
        <v>1711735.7</v>
      </c>
      <c r="I827" s="1">
        <v>825</v>
      </c>
      <c r="J827" s="1">
        <v>43</v>
      </c>
      <c r="K827" s="1">
        <v>233525</v>
      </c>
      <c r="L827" s="1" t="s">
        <v>26</v>
      </c>
      <c r="M827" s="1" t="s">
        <v>20</v>
      </c>
      <c r="N827" s="1">
        <v>1.7</v>
      </c>
    </row>
    <row r="828" spans="1:14" x14ac:dyDescent="0.3">
      <c r="A828" s="1" t="s">
        <v>1683</v>
      </c>
      <c r="B828" s="1" t="s">
        <v>1684</v>
      </c>
      <c r="C828" s="1">
        <v>29</v>
      </c>
      <c r="D828" s="1" t="s">
        <v>23</v>
      </c>
      <c r="E828" s="1" t="s">
        <v>55</v>
      </c>
      <c r="F828" s="1" t="s">
        <v>81</v>
      </c>
      <c r="G828" s="9">
        <v>244204.57</v>
      </c>
      <c r="H828" s="1">
        <v>544519.31000000006</v>
      </c>
      <c r="I828" s="1">
        <v>309</v>
      </c>
      <c r="J828" s="1">
        <v>455</v>
      </c>
      <c r="K828" s="1">
        <v>20943</v>
      </c>
      <c r="L828" s="1" t="s">
        <v>40</v>
      </c>
      <c r="M828" s="1" t="s">
        <v>33</v>
      </c>
      <c r="N828" s="1">
        <v>4.7</v>
      </c>
    </row>
    <row r="829" spans="1:14" x14ac:dyDescent="0.3">
      <c r="A829" s="1" t="s">
        <v>1685</v>
      </c>
      <c r="B829" s="1" t="s">
        <v>1686</v>
      </c>
      <c r="C829" s="1">
        <v>63</v>
      </c>
      <c r="D829" s="1" t="s">
        <v>16</v>
      </c>
      <c r="E829" s="1" t="s">
        <v>38</v>
      </c>
      <c r="F829" s="1" t="s">
        <v>81</v>
      </c>
      <c r="G829" s="9">
        <v>830465.63</v>
      </c>
      <c r="H829" s="1">
        <v>427772.74</v>
      </c>
      <c r="I829" s="1">
        <v>346</v>
      </c>
      <c r="J829" s="1">
        <v>278</v>
      </c>
      <c r="K829" s="1">
        <v>90389</v>
      </c>
      <c r="L829" s="1" t="s">
        <v>40</v>
      </c>
      <c r="M829" s="1" t="s">
        <v>33</v>
      </c>
      <c r="N829" s="1">
        <v>2</v>
      </c>
    </row>
    <row r="830" spans="1:14" x14ac:dyDescent="0.3">
      <c r="A830" s="1" t="s">
        <v>1687</v>
      </c>
      <c r="B830" s="1" t="s">
        <v>1688</v>
      </c>
      <c r="C830" s="1">
        <v>68</v>
      </c>
      <c r="D830" s="1" t="s">
        <v>23</v>
      </c>
      <c r="E830" s="1" t="s">
        <v>48</v>
      </c>
      <c r="F830" s="1" t="s">
        <v>81</v>
      </c>
      <c r="G830" s="9">
        <v>965407.62</v>
      </c>
      <c r="H830" s="1">
        <v>622520.18999999994</v>
      </c>
      <c r="I830" s="1">
        <v>515</v>
      </c>
      <c r="J830" s="1">
        <v>278</v>
      </c>
      <c r="K830" s="1">
        <v>33505</v>
      </c>
      <c r="L830" s="1" t="s">
        <v>19</v>
      </c>
      <c r="M830" s="1" t="s">
        <v>33</v>
      </c>
      <c r="N830" s="1">
        <v>1.5</v>
      </c>
    </row>
    <row r="831" spans="1:14" x14ac:dyDescent="0.3">
      <c r="A831" s="1" t="s">
        <v>1689</v>
      </c>
      <c r="B831" s="1" t="s">
        <v>1690</v>
      </c>
      <c r="C831" s="1">
        <v>64</v>
      </c>
      <c r="D831" s="1" t="s">
        <v>16</v>
      </c>
      <c r="E831" s="1" t="s">
        <v>48</v>
      </c>
      <c r="F831" s="1" t="s">
        <v>39</v>
      </c>
      <c r="G831" s="9">
        <v>615472.61</v>
      </c>
      <c r="H831" s="1">
        <v>1528705.08</v>
      </c>
      <c r="I831" s="1">
        <v>632</v>
      </c>
      <c r="J831" s="1">
        <v>34</v>
      </c>
      <c r="K831" s="1">
        <v>55025</v>
      </c>
      <c r="L831" s="1" t="s">
        <v>26</v>
      </c>
      <c r="M831" s="1" t="s">
        <v>20</v>
      </c>
      <c r="N831" s="1">
        <v>3.5</v>
      </c>
    </row>
    <row r="832" spans="1:14" x14ac:dyDescent="0.3">
      <c r="A832" s="1" t="s">
        <v>1691</v>
      </c>
      <c r="B832" s="1" t="s">
        <v>1692</v>
      </c>
      <c r="C832" s="1">
        <v>34</v>
      </c>
      <c r="D832" s="1" t="s">
        <v>23</v>
      </c>
      <c r="E832" s="1" t="s">
        <v>55</v>
      </c>
      <c r="F832" s="1" t="s">
        <v>39</v>
      </c>
      <c r="G832" s="9">
        <v>808396.1</v>
      </c>
      <c r="H832" s="1">
        <v>2446905.9700000002</v>
      </c>
      <c r="I832" s="1">
        <v>897</v>
      </c>
      <c r="J832" s="1">
        <v>59</v>
      </c>
      <c r="K832" s="1">
        <v>24099</v>
      </c>
      <c r="L832" s="1" t="s">
        <v>30</v>
      </c>
      <c r="M832" s="1" t="s">
        <v>20</v>
      </c>
      <c r="N832" s="1">
        <v>3.9</v>
      </c>
    </row>
    <row r="833" spans="1:14" x14ac:dyDescent="0.3">
      <c r="A833" s="1" t="s">
        <v>1693</v>
      </c>
      <c r="B833" s="1" t="s">
        <v>1694</v>
      </c>
      <c r="C833" s="1">
        <v>38</v>
      </c>
      <c r="D833" s="1" t="s">
        <v>23</v>
      </c>
      <c r="E833" s="1" t="s">
        <v>48</v>
      </c>
      <c r="F833" s="1" t="s">
        <v>39</v>
      </c>
      <c r="G833" s="9">
        <v>309858.36</v>
      </c>
      <c r="H833" s="1">
        <v>1574501.65</v>
      </c>
      <c r="I833" s="1">
        <v>704</v>
      </c>
      <c r="J833" s="1">
        <v>84</v>
      </c>
      <c r="K833" s="1">
        <v>90462</v>
      </c>
      <c r="L833" s="1" t="s">
        <v>30</v>
      </c>
      <c r="M833" s="1" t="s">
        <v>20</v>
      </c>
      <c r="N833" s="1">
        <v>2.8</v>
      </c>
    </row>
    <row r="834" spans="1:14" x14ac:dyDescent="0.3">
      <c r="A834" s="1" t="s">
        <v>1695</v>
      </c>
      <c r="B834" s="1" t="s">
        <v>1696</v>
      </c>
      <c r="C834" s="1">
        <v>49</v>
      </c>
      <c r="D834" s="1" t="s">
        <v>16</v>
      </c>
      <c r="E834" s="1" t="s">
        <v>55</v>
      </c>
      <c r="F834" s="1" t="s">
        <v>18</v>
      </c>
      <c r="G834" s="9">
        <v>691788.22</v>
      </c>
      <c r="H834" s="1">
        <v>2038994.97</v>
      </c>
      <c r="I834" s="1">
        <v>480</v>
      </c>
      <c r="J834" s="1">
        <v>101</v>
      </c>
      <c r="K834" s="1">
        <v>67582</v>
      </c>
      <c r="L834" s="1" t="s">
        <v>26</v>
      </c>
      <c r="M834" s="1" t="s">
        <v>20</v>
      </c>
      <c r="N834" s="1">
        <v>3.3</v>
      </c>
    </row>
    <row r="835" spans="1:14" x14ac:dyDescent="0.3">
      <c r="A835" s="1" t="s">
        <v>1697</v>
      </c>
      <c r="B835" s="1" t="s">
        <v>1698</v>
      </c>
      <c r="C835" s="1">
        <v>29</v>
      </c>
      <c r="D835" s="1" t="s">
        <v>16</v>
      </c>
      <c r="E835" s="1" t="s">
        <v>45</v>
      </c>
      <c r="F835" s="1" t="s">
        <v>25</v>
      </c>
      <c r="G835" s="9">
        <v>594325.02</v>
      </c>
      <c r="H835" s="1">
        <v>1519555.19</v>
      </c>
      <c r="I835" s="1">
        <v>371</v>
      </c>
      <c r="J835" s="1">
        <v>78</v>
      </c>
      <c r="K835" s="1">
        <v>234302</v>
      </c>
      <c r="L835" s="1" t="s">
        <v>19</v>
      </c>
      <c r="M835" s="1" t="s">
        <v>20</v>
      </c>
      <c r="N835" s="1">
        <v>1.3</v>
      </c>
    </row>
    <row r="836" spans="1:14" x14ac:dyDescent="0.3">
      <c r="A836" s="1" t="s">
        <v>1699</v>
      </c>
      <c r="B836" s="1" t="s">
        <v>1700</v>
      </c>
      <c r="C836" s="1">
        <v>64</v>
      </c>
      <c r="D836" s="1" t="s">
        <v>16</v>
      </c>
      <c r="E836" s="1" t="s">
        <v>76</v>
      </c>
      <c r="F836" s="1" t="s">
        <v>39</v>
      </c>
      <c r="G836" s="9">
        <v>1212949.1299999999</v>
      </c>
      <c r="H836" s="1">
        <v>1508233.79</v>
      </c>
      <c r="I836" s="1">
        <v>686</v>
      </c>
      <c r="J836" s="1">
        <v>201</v>
      </c>
      <c r="K836" s="1">
        <v>216724</v>
      </c>
      <c r="L836" s="1" t="s">
        <v>40</v>
      </c>
      <c r="M836" s="1" t="s">
        <v>20</v>
      </c>
      <c r="N836" s="1">
        <v>1.1000000000000001</v>
      </c>
    </row>
    <row r="837" spans="1:14" x14ac:dyDescent="0.3">
      <c r="A837" s="1" t="s">
        <v>1701</v>
      </c>
      <c r="B837" s="1" t="s">
        <v>1702</v>
      </c>
      <c r="C837" s="1">
        <v>35</v>
      </c>
      <c r="D837" s="1" t="s">
        <v>23</v>
      </c>
      <c r="E837" s="1" t="s">
        <v>29</v>
      </c>
      <c r="F837" s="1" t="s">
        <v>39</v>
      </c>
      <c r="G837" s="9">
        <v>1408204.6</v>
      </c>
      <c r="H837" s="1">
        <v>1499092.95</v>
      </c>
      <c r="I837" s="1">
        <v>309</v>
      </c>
      <c r="J837" s="1">
        <v>495</v>
      </c>
      <c r="K837" s="1">
        <v>57391</v>
      </c>
      <c r="L837" s="1" t="s">
        <v>40</v>
      </c>
      <c r="M837" s="1" t="s">
        <v>33</v>
      </c>
      <c r="N837" s="1">
        <v>4.2</v>
      </c>
    </row>
    <row r="838" spans="1:14" x14ac:dyDescent="0.3">
      <c r="A838" s="1" t="s">
        <v>1703</v>
      </c>
      <c r="B838" s="1" t="s">
        <v>1704</v>
      </c>
      <c r="C838" s="1">
        <v>66</v>
      </c>
      <c r="D838" s="1" t="s">
        <v>16</v>
      </c>
      <c r="E838" s="1" t="s">
        <v>76</v>
      </c>
      <c r="F838" s="1" t="s">
        <v>81</v>
      </c>
      <c r="G838" s="9">
        <v>1339123.49</v>
      </c>
      <c r="H838" s="1">
        <v>2038662.31</v>
      </c>
      <c r="I838" s="1">
        <v>614</v>
      </c>
      <c r="J838" s="1">
        <v>174</v>
      </c>
      <c r="K838" s="1">
        <v>167548</v>
      </c>
      <c r="L838" s="1" t="s">
        <v>19</v>
      </c>
      <c r="M838" s="1" t="s">
        <v>20</v>
      </c>
      <c r="N838" s="1">
        <v>2.9</v>
      </c>
    </row>
    <row r="839" spans="1:14" x14ac:dyDescent="0.3">
      <c r="A839" s="1" t="s">
        <v>1705</v>
      </c>
      <c r="B839" s="1" t="s">
        <v>1706</v>
      </c>
      <c r="C839" s="1">
        <v>70</v>
      </c>
      <c r="D839" s="1" t="s">
        <v>16</v>
      </c>
      <c r="E839" s="1" t="s">
        <v>76</v>
      </c>
      <c r="F839" s="1" t="s">
        <v>39</v>
      </c>
      <c r="G839" s="9">
        <v>158708.89000000001</v>
      </c>
      <c r="H839" s="1">
        <v>741846.23</v>
      </c>
      <c r="I839" s="1">
        <v>823</v>
      </c>
      <c r="J839" s="1">
        <v>458</v>
      </c>
      <c r="K839" s="1">
        <v>31672</v>
      </c>
      <c r="L839" s="1" t="s">
        <v>19</v>
      </c>
      <c r="M839" s="1" t="s">
        <v>20</v>
      </c>
      <c r="N839" s="1">
        <v>4.3</v>
      </c>
    </row>
    <row r="840" spans="1:14" x14ac:dyDescent="0.3">
      <c r="A840" s="1" t="s">
        <v>1707</v>
      </c>
      <c r="B840" s="1" t="s">
        <v>1708</v>
      </c>
      <c r="C840" s="1">
        <v>45</v>
      </c>
      <c r="D840" s="1" t="s">
        <v>23</v>
      </c>
      <c r="E840" s="1" t="s">
        <v>29</v>
      </c>
      <c r="F840" s="1" t="s">
        <v>25</v>
      </c>
      <c r="G840" s="9">
        <v>225327.88</v>
      </c>
      <c r="H840" s="1">
        <v>1638411.49</v>
      </c>
      <c r="I840" s="1">
        <v>531</v>
      </c>
      <c r="J840" s="1">
        <v>476</v>
      </c>
      <c r="K840" s="1">
        <v>121025</v>
      </c>
      <c r="L840" s="1" t="s">
        <v>40</v>
      </c>
      <c r="M840" s="1" t="s">
        <v>20</v>
      </c>
      <c r="N840" s="1">
        <v>4.5</v>
      </c>
    </row>
    <row r="841" spans="1:14" x14ac:dyDescent="0.3">
      <c r="A841" s="1" t="s">
        <v>1709</v>
      </c>
      <c r="B841" s="1" t="s">
        <v>1710</v>
      </c>
      <c r="C841" s="1">
        <v>32</v>
      </c>
      <c r="D841" s="1" t="s">
        <v>23</v>
      </c>
      <c r="E841" s="1" t="s">
        <v>29</v>
      </c>
      <c r="F841" s="1" t="s">
        <v>18</v>
      </c>
      <c r="G841" s="9">
        <v>1434917.4</v>
      </c>
      <c r="H841" s="1">
        <v>704535.68</v>
      </c>
      <c r="I841" s="1">
        <v>378</v>
      </c>
      <c r="J841" s="1">
        <v>320</v>
      </c>
      <c r="K841" s="1">
        <v>46669</v>
      </c>
      <c r="L841" s="1" t="s">
        <v>40</v>
      </c>
      <c r="M841" s="1" t="s">
        <v>20</v>
      </c>
      <c r="N841" s="1">
        <v>2.2999999999999998</v>
      </c>
    </row>
    <row r="842" spans="1:14" x14ac:dyDescent="0.3">
      <c r="A842" s="1" t="s">
        <v>1711</v>
      </c>
      <c r="B842" s="1" t="s">
        <v>1712</v>
      </c>
      <c r="C842" s="1">
        <v>45</v>
      </c>
      <c r="D842" s="1" t="s">
        <v>23</v>
      </c>
      <c r="E842" s="1" t="s">
        <v>55</v>
      </c>
      <c r="F842" s="1" t="s">
        <v>81</v>
      </c>
      <c r="G842" s="9">
        <v>505591.88</v>
      </c>
      <c r="H842" s="1">
        <v>453413.72</v>
      </c>
      <c r="I842" s="1">
        <v>735</v>
      </c>
      <c r="J842" s="1">
        <v>81</v>
      </c>
      <c r="K842" s="1">
        <v>159062</v>
      </c>
      <c r="L842" s="1" t="s">
        <v>19</v>
      </c>
      <c r="M842" s="1" t="s">
        <v>33</v>
      </c>
      <c r="N842" s="1">
        <v>4.5999999999999996</v>
      </c>
    </row>
    <row r="843" spans="1:14" x14ac:dyDescent="0.3">
      <c r="A843" s="1" t="s">
        <v>1713</v>
      </c>
      <c r="B843" s="1" t="s">
        <v>1714</v>
      </c>
      <c r="C843" s="1">
        <v>49</v>
      </c>
      <c r="D843" s="1" t="s">
        <v>16</v>
      </c>
      <c r="E843" s="1" t="s">
        <v>38</v>
      </c>
      <c r="F843" s="1" t="s">
        <v>81</v>
      </c>
      <c r="G843" s="9">
        <v>556823.18999999994</v>
      </c>
      <c r="H843" s="1">
        <v>663502.43999999994</v>
      </c>
      <c r="I843" s="1">
        <v>378</v>
      </c>
      <c r="J843" s="1">
        <v>408</v>
      </c>
      <c r="K843" s="1">
        <v>193468</v>
      </c>
      <c r="L843" s="1" t="s">
        <v>40</v>
      </c>
      <c r="M843" s="1" t="s">
        <v>33</v>
      </c>
      <c r="N843" s="1">
        <v>1</v>
      </c>
    </row>
    <row r="844" spans="1:14" x14ac:dyDescent="0.3">
      <c r="A844" s="1" t="s">
        <v>1715</v>
      </c>
      <c r="B844" s="1" t="s">
        <v>1716</v>
      </c>
      <c r="C844" s="1">
        <v>46</v>
      </c>
      <c r="D844" s="1" t="s">
        <v>23</v>
      </c>
      <c r="E844" s="1" t="s">
        <v>38</v>
      </c>
      <c r="F844" s="1" t="s">
        <v>18</v>
      </c>
      <c r="G844" s="9">
        <v>1196291.8600000001</v>
      </c>
      <c r="H844" s="1">
        <v>2440848.12</v>
      </c>
      <c r="I844" s="1">
        <v>368</v>
      </c>
      <c r="J844" s="1">
        <v>62</v>
      </c>
      <c r="K844" s="1">
        <v>209095</v>
      </c>
      <c r="L844" s="1" t="s">
        <v>26</v>
      </c>
      <c r="M844" s="1" t="s">
        <v>20</v>
      </c>
      <c r="N844" s="1">
        <v>3.3</v>
      </c>
    </row>
    <row r="845" spans="1:14" x14ac:dyDescent="0.3">
      <c r="A845" s="1" t="s">
        <v>1717</v>
      </c>
      <c r="B845" s="1" t="s">
        <v>1718</v>
      </c>
      <c r="C845" s="1">
        <v>29</v>
      </c>
      <c r="D845" s="1" t="s">
        <v>23</v>
      </c>
      <c r="E845" s="1" t="s">
        <v>48</v>
      </c>
      <c r="F845" s="1" t="s">
        <v>39</v>
      </c>
      <c r="G845" s="9">
        <v>580601.01</v>
      </c>
      <c r="H845" s="1">
        <v>798289.45</v>
      </c>
      <c r="I845" s="1">
        <v>734</v>
      </c>
      <c r="J845" s="1">
        <v>251</v>
      </c>
      <c r="K845" s="1">
        <v>221204</v>
      </c>
      <c r="L845" s="1" t="s">
        <v>40</v>
      </c>
      <c r="M845" s="1" t="s">
        <v>33</v>
      </c>
      <c r="N845" s="1">
        <v>3.8</v>
      </c>
    </row>
    <row r="846" spans="1:14" x14ac:dyDescent="0.3">
      <c r="A846" s="1" t="s">
        <v>1719</v>
      </c>
      <c r="B846" s="1" t="s">
        <v>1720</v>
      </c>
      <c r="C846" s="1">
        <v>44</v>
      </c>
      <c r="D846" s="1" t="s">
        <v>23</v>
      </c>
      <c r="E846" s="1" t="s">
        <v>29</v>
      </c>
      <c r="F846" s="1" t="s">
        <v>25</v>
      </c>
      <c r="G846" s="9">
        <v>748167.93</v>
      </c>
      <c r="H846" s="1">
        <v>1334426.6200000001</v>
      </c>
      <c r="I846" s="1">
        <v>845</v>
      </c>
      <c r="J846" s="1">
        <v>279</v>
      </c>
      <c r="K846" s="1">
        <v>164005</v>
      </c>
      <c r="L846" s="1" t="s">
        <v>40</v>
      </c>
      <c r="M846" s="1" t="s">
        <v>20</v>
      </c>
      <c r="N846" s="1">
        <v>4.3</v>
      </c>
    </row>
    <row r="847" spans="1:14" x14ac:dyDescent="0.3">
      <c r="A847" s="1" t="s">
        <v>1721</v>
      </c>
      <c r="B847" s="1" t="s">
        <v>1722</v>
      </c>
      <c r="C847" s="1">
        <v>33</v>
      </c>
      <c r="D847" s="1" t="s">
        <v>16</v>
      </c>
      <c r="E847" s="1" t="s">
        <v>29</v>
      </c>
      <c r="F847" s="1" t="s">
        <v>18</v>
      </c>
      <c r="G847" s="9">
        <v>9284.83</v>
      </c>
      <c r="H847" s="1">
        <v>2484763.2799999998</v>
      </c>
      <c r="I847" s="1">
        <v>317</v>
      </c>
      <c r="J847" s="1">
        <v>190</v>
      </c>
      <c r="K847" s="1">
        <v>114819</v>
      </c>
      <c r="L847" s="1" t="s">
        <v>26</v>
      </c>
      <c r="M847" s="1" t="s">
        <v>33</v>
      </c>
      <c r="N847" s="1">
        <v>3.2</v>
      </c>
    </row>
    <row r="848" spans="1:14" x14ac:dyDescent="0.3">
      <c r="A848" s="1" t="s">
        <v>1723</v>
      </c>
      <c r="B848" s="1" t="s">
        <v>1724</v>
      </c>
      <c r="C848" s="1">
        <v>67</v>
      </c>
      <c r="D848" s="1" t="s">
        <v>16</v>
      </c>
      <c r="E848" s="1" t="s">
        <v>24</v>
      </c>
      <c r="F848" s="1" t="s">
        <v>39</v>
      </c>
      <c r="G848" s="9">
        <v>213327.17</v>
      </c>
      <c r="H848" s="1">
        <v>1150970.96</v>
      </c>
      <c r="I848" s="1">
        <v>864</v>
      </c>
      <c r="J848" s="1">
        <v>481</v>
      </c>
      <c r="K848" s="1">
        <v>234698</v>
      </c>
      <c r="L848" s="1" t="s">
        <v>19</v>
      </c>
      <c r="M848" s="1" t="s">
        <v>20</v>
      </c>
      <c r="N848" s="1">
        <v>4.7</v>
      </c>
    </row>
    <row r="849" spans="1:14" x14ac:dyDescent="0.3">
      <c r="A849" s="1" t="s">
        <v>1725</v>
      </c>
      <c r="B849" s="1" t="s">
        <v>1726</v>
      </c>
      <c r="C849" s="1">
        <v>25</v>
      </c>
      <c r="D849" s="1" t="s">
        <v>23</v>
      </c>
      <c r="E849" s="1" t="s">
        <v>76</v>
      </c>
      <c r="F849" s="1" t="s">
        <v>18</v>
      </c>
      <c r="G849" s="9">
        <v>1057424.47</v>
      </c>
      <c r="H849" s="1">
        <v>943651.96</v>
      </c>
      <c r="I849" s="1">
        <v>326</v>
      </c>
      <c r="J849" s="1">
        <v>361</v>
      </c>
      <c r="K849" s="1">
        <v>202394</v>
      </c>
      <c r="L849" s="1" t="s">
        <v>19</v>
      </c>
      <c r="M849" s="1" t="s">
        <v>33</v>
      </c>
      <c r="N849" s="1">
        <v>4.9000000000000004</v>
      </c>
    </row>
    <row r="850" spans="1:14" x14ac:dyDescent="0.3">
      <c r="A850" s="1" t="s">
        <v>1727</v>
      </c>
      <c r="B850" s="1" t="s">
        <v>1728</v>
      </c>
      <c r="C850" s="1">
        <v>56</v>
      </c>
      <c r="D850" s="1" t="s">
        <v>16</v>
      </c>
      <c r="E850" s="1" t="s">
        <v>17</v>
      </c>
      <c r="F850" s="1" t="s">
        <v>39</v>
      </c>
      <c r="G850" s="9">
        <v>241468.93</v>
      </c>
      <c r="H850" s="1">
        <v>367216.68</v>
      </c>
      <c r="I850" s="1">
        <v>444</v>
      </c>
      <c r="J850" s="1">
        <v>45</v>
      </c>
      <c r="K850" s="1">
        <v>248190</v>
      </c>
      <c r="L850" s="1" t="s">
        <v>40</v>
      </c>
      <c r="M850" s="1" t="s">
        <v>33</v>
      </c>
      <c r="N850" s="1">
        <v>2</v>
      </c>
    </row>
    <row r="851" spans="1:14" x14ac:dyDescent="0.3">
      <c r="A851" s="1" t="s">
        <v>1729</v>
      </c>
      <c r="B851" s="1" t="s">
        <v>1730</v>
      </c>
      <c r="C851" s="1">
        <v>65</v>
      </c>
      <c r="D851" s="1" t="s">
        <v>23</v>
      </c>
      <c r="E851" s="1" t="s">
        <v>45</v>
      </c>
      <c r="F851" s="1" t="s">
        <v>18</v>
      </c>
      <c r="G851" s="9">
        <v>1123420.1499999999</v>
      </c>
      <c r="H851" s="1">
        <v>1746409.81</v>
      </c>
      <c r="I851" s="1">
        <v>606</v>
      </c>
      <c r="J851" s="1">
        <v>245</v>
      </c>
      <c r="K851" s="1">
        <v>56729</v>
      </c>
      <c r="L851" s="1" t="s">
        <v>26</v>
      </c>
      <c r="M851" s="1" t="s">
        <v>20</v>
      </c>
      <c r="N851" s="1">
        <v>2.6</v>
      </c>
    </row>
    <row r="852" spans="1:14" x14ac:dyDescent="0.3">
      <c r="A852" s="1" t="s">
        <v>1731</v>
      </c>
      <c r="B852" s="1" t="s">
        <v>1732</v>
      </c>
      <c r="C852" s="1">
        <v>27</v>
      </c>
      <c r="D852" s="1" t="s">
        <v>23</v>
      </c>
      <c r="E852" s="1" t="s">
        <v>17</v>
      </c>
      <c r="F852" s="1" t="s">
        <v>25</v>
      </c>
      <c r="G852" s="9">
        <v>1322329.93</v>
      </c>
      <c r="H852" s="1">
        <v>80297.77</v>
      </c>
      <c r="I852" s="1">
        <v>477</v>
      </c>
      <c r="J852" s="1">
        <v>262</v>
      </c>
      <c r="K852" s="1">
        <v>35728</v>
      </c>
      <c r="L852" s="1" t="s">
        <v>26</v>
      </c>
      <c r="M852" s="1" t="s">
        <v>33</v>
      </c>
      <c r="N852" s="1">
        <v>1.6</v>
      </c>
    </row>
    <row r="853" spans="1:14" x14ac:dyDescent="0.3">
      <c r="A853" s="1" t="s">
        <v>1733</v>
      </c>
      <c r="B853" s="1" t="s">
        <v>1734</v>
      </c>
      <c r="C853" s="1">
        <v>63</v>
      </c>
      <c r="D853" s="1" t="s">
        <v>16</v>
      </c>
      <c r="E853" s="1" t="s">
        <v>24</v>
      </c>
      <c r="F853" s="1" t="s">
        <v>25</v>
      </c>
      <c r="G853" s="9">
        <v>638387.04</v>
      </c>
      <c r="H853" s="1">
        <v>392001.59</v>
      </c>
      <c r="I853" s="1">
        <v>394</v>
      </c>
      <c r="J853" s="1">
        <v>272</v>
      </c>
      <c r="K853" s="1">
        <v>79589</v>
      </c>
      <c r="L853" s="1" t="s">
        <v>19</v>
      </c>
      <c r="M853" s="1" t="s">
        <v>20</v>
      </c>
      <c r="N853" s="1">
        <v>2.5</v>
      </c>
    </row>
    <row r="854" spans="1:14" x14ac:dyDescent="0.3">
      <c r="A854" s="1" t="s">
        <v>1735</v>
      </c>
      <c r="B854" s="1" t="s">
        <v>1736</v>
      </c>
      <c r="C854" s="1">
        <v>43</v>
      </c>
      <c r="D854" s="1" t="s">
        <v>23</v>
      </c>
      <c r="E854" s="1" t="s">
        <v>48</v>
      </c>
      <c r="F854" s="1" t="s">
        <v>25</v>
      </c>
      <c r="G854" s="9">
        <v>1234644.92</v>
      </c>
      <c r="H854" s="1">
        <v>2439968.48</v>
      </c>
      <c r="I854" s="1">
        <v>379</v>
      </c>
      <c r="J854" s="1">
        <v>423</v>
      </c>
      <c r="K854" s="1">
        <v>68154</v>
      </c>
      <c r="L854" s="1" t="s">
        <v>30</v>
      </c>
      <c r="M854" s="1" t="s">
        <v>20</v>
      </c>
      <c r="N854" s="1">
        <v>3.8</v>
      </c>
    </row>
    <row r="855" spans="1:14" x14ac:dyDescent="0.3">
      <c r="A855" s="1" t="s">
        <v>1737</v>
      </c>
      <c r="B855" s="1" t="s">
        <v>1738</v>
      </c>
      <c r="C855" s="1">
        <v>21</v>
      </c>
      <c r="D855" s="1" t="s">
        <v>23</v>
      </c>
      <c r="E855" s="1" t="s">
        <v>48</v>
      </c>
      <c r="F855" s="1" t="s">
        <v>18</v>
      </c>
      <c r="G855" s="9">
        <v>560359.81999999995</v>
      </c>
      <c r="H855" s="1">
        <v>1060554.72</v>
      </c>
      <c r="I855" s="1">
        <v>576</v>
      </c>
      <c r="J855" s="1">
        <v>60</v>
      </c>
      <c r="K855" s="1">
        <v>230590</v>
      </c>
      <c r="L855" s="1" t="s">
        <v>40</v>
      </c>
      <c r="M855" s="1" t="s">
        <v>33</v>
      </c>
      <c r="N855" s="1">
        <v>1.4</v>
      </c>
    </row>
    <row r="856" spans="1:14" x14ac:dyDescent="0.3">
      <c r="A856" s="1" t="s">
        <v>1739</v>
      </c>
      <c r="B856" s="1" t="s">
        <v>1740</v>
      </c>
      <c r="C856" s="1">
        <v>28</v>
      </c>
      <c r="D856" s="1" t="s">
        <v>16</v>
      </c>
      <c r="E856" s="1" t="s">
        <v>24</v>
      </c>
      <c r="F856" s="1" t="s">
        <v>18</v>
      </c>
      <c r="G856" s="9">
        <v>164164.49</v>
      </c>
      <c r="H856" s="1">
        <v>529774.87</v>
      </c>
      <c r="I856" s="1">
        <v>311</v>
      </c>
      <c r="J856" s="1">
        <v>392</v>
      </c>
      <c r="K856" s="1">
        <v>161968</v>
      </c>
      <c r="L856" s="1" t="s">
        <v>40</v>
      </c>
      <c r="M856" s="1" t="s">
        <v>33</v>
      </c>
      <c r="N856" s="1">
        <v>4.5999999999999996</v>
      </c>
    </row>
    <row r="857" spans="1:14" x14ac:dyDescent="0.3">
      <c r="A857" s="1" t="s">
        <v>1741</v>
      </c>
      <c r="B857" s="1" t="s">
        <v>1742</v>
      </c>
      <c r="C857" s="1">
        <v>23</v>
      </c>
      <c r="D857" s="1" t="s">
        <v>16</v>
      </c>
      <c r="E857" s="1" t="s">
        <v>55</v>
      </c>
      <c r="F857" s="1" t="s">
        <v>18</v>
      </c>
      <c r="G857" s="9">
        <v>849371.24</v>
      </c>
      <c r="H857" s="1">
        <v>1409348.31</v>
      </c>
      <c r="I857" s="1">
        <v>795</v>
      </c>
      <c r="J857" s="1">
        <v>28</v>
      </c>
      <c r="K857" s="1">
        <v>169454</v>
      </c>
      <c r="L857" s="1" t="s">
        <v>26</v>
      </c>
      <c r="M857" s="1" t="s">
        <v>33</v>
      </c>
      <c r="N857" s="1">
        <v>1.2</v>
      </c>
    </row>
    <row r="858" spans="1:14" x14ac:dyDescent="0.3">
      <c r="A858" s="1" t="s">
        <v>1743</v>
      </c>
      <c r="B858" s="1" t="s">
        <v>1744</v>
      </c>
      <c r="C858" s="1">
        <v>43</v>
      </c>
      <c r="D858" s="1" t="s">
        <v>16</v>
      </c>
      <c r="E858" s="1" t="s">
        <v>48</v>
      </c>
      <c r="F858" s="1" t="s">
        <v>25</v>
      </c>
      <c r="G858" s="9">
        <v>296351.14</v>
      </c>
      <c r="H858" s="1">
        <v>1879605.68</v>
      </c>
      <c r="I858" s="1">
        <v>664</v>
      </c>
      <c r="J858" s="1">
        <v>71</v>
      </c>
      <c r="K858" s="1">
        <v>151128</v>
      </c>
      <c r="L858" s="1" t="s">
        <v>19</v>
      </c>
      <c r="M858" s="1" t="s">
        <v>20</v>
      </c>
      <c r="N858" s="1">
        <v>3.8</v>
      </c>
    </row>
    <row r="859" spans="1:14" x14ac:dyDescent="0.3">
      <c r="A859" s="1" t="s">
        <v>1745</v>
      </c>
      <c r="B859" s="1" t="s">
        <v>1746</v>
      </c>
      <c r="C859" s="1">
        <v>19</v>
      </c>
      <c r="D859" s="1" t="s">
        <v>23</v>
      </c>
      <c r="E859" s="1" t="s">
        <v>29</v>
      </c>
      <c r="F859" s="1" t="s">
        <v>18</v>
      </c>
      <c r="G859" s="9">
        <v>1195123.6000000001</v>
      </c>
      <c r="H859" s="1">
        <v>1192382.5900000001</v>
      </c>
      <c r="I859" s="1">
        <v>338</v>
      </c>
      <c r="J859" s="1">
        <v>153</v>
      </c>
      <c r="K859" s="1">
        <v>173924</v>
      </c>
      <c r="L859" s="1" t="s">
        <v>40</v>
      </c>
      <c r="M859" s="1" t="s">
        <v>20</v>
      </c>
      <c r="N859" s="1">
        <v>1.6</v>
      </c>
    </row>
    <row r="860" spans="1:14" x14ac:dyDescent="0.3">
      <c r="A860" s="1" t="s">
        <v>1747</v>
      </c>
      <c r="B860" s="1" t="s">
        <v>1748</v>
      </c>
      <c r="C860" s="1">
        <v>69</v>
      </c>
      <c r="D860" s="1" t="s">
        <v>23</v>
      </c>
      <c r="E860" s="1" t="s">
        <v>45</v>
      </c>
      <c r="F860" s="1" t="s">
        <v>39</v>
      </c>
      <c r="G860" s="9">
        <v>983059.12</v>
      </c>
      <c r="H860" s="1">
        <v>1922064.29</v>
      </c>
      <c r="I860" s="1">
        <v>464</v>
      </c>
      <c r="J860" s="1">
        <v>498</v>
      </c>
      <c r="K860" s="1">
        <v>198640</v>
      </c>
      <c r="L860" s="1" t="s">
        <v>26</v>
      </c>
      <c r="M860" s="1" t="s">
        <v>33</v>
      </c>
      <c r="N860" s="1">
        <v>3</v>
      </c>
    </row>
    <row r="861" spans="1:14" x14ac:dyDescent="0.3">
      <c r="A861" s="1" t="s">
        <v>1749</v>
      </c>
      <c r="B861" s="1" t="s">
        <v>1750</v>
      </c>
      <c r="C861" s="1">
        <v>41</v>
      </c>
      <c r="D861" s="1" t="s">
        <v>16</v>
      </c>
      <c r="E861" s="1" t="s">
        <v>38</v>
      </c>
      <c r="F861" s="1" t="s">
        <v>25</v>
      </c>
      <c r="G861" s="9">
        <v>1284649.07</v>
      </c>
      <c r="H861" s="1">
        <v>1077253.6100000001</v>
      </c>
      <c r="I861" s="1">
        <v>696</v>
      </c>
      <c r="J861" s="1">
        <v>127</v>
      </c>
      <c r="K861" s="1">
        <v>183439</v>
      </c>
      <c r="L861" s="1" t="s">
        <v>19</v>
      </c>
      <c r="M861" s="1" t="s">
        <v>20</v>
      </c>
      <c r="N861" s="1">
        <v>1.8</v>
      </c>
    </row>
    <row r="862" spans="1:14" x14ac:dyDescent="0.3">
      <c r="A862" s="1" t="s">
        <v>1751</v>
      </c>
      <c r="B862" s="1" t="s">
        <v>1752</v>
      </c>
      <c r="C862" s="1">
        <v>27</v>
      </c>
      <c r="D862" s="1" t="s">
        <v>23</v>
      </c>
      <c r="E862" s="1" t="s">
        <v>38</v>
      </c>
      <c r="F862" s="1" t="s">
        <v>81</v>
      </c>
      <c r="G862" s="9">
        <v>1306333.93</v>
      </c>
      <c r="H862" s="1">
        <v>1367840.13</v>
      </c>
      <c r="I862" s="1">
        <v>389</v>
      </c>
      <c r="J862" s="1">
        <v>260</v>
      </c>
      <c r="K862" s="1">
        <v>220885</v>
      </c>
      <c r="L862" s="1" t="s">
        <v>40</v>
      </c>
      <c r="M862" s="1" t="s">
        <v>20</v>
      </c>
      <c r="N862" s="1">
        <v>1.4</v>
      </c>
    </row>
    <row r="863" spans="1:14" x14ac:dyDescent="0.3">
      <c r="A863" s="1" t="s">
        <v>1753</v>
      </c>
      <c r="B863" s="1" t="s">
        <v>1754</v>
      </c>
      <c r="C863" s="1">
        <v>35</v>
      </c>
      <c r="D863" s="1" t="s">
        <v>23</v>
      </c>
      <c r="E863" s="1" t="s">
        <v>45</v>
      </c>
      <c r="F863" s="1" t="s">
        <v>81</v>
      </c>
      <c r="G863" s="9">
        <v>548175.76</v>
      </c>
      <c r="H863" s="1">
        <v>223073.1</v>
      </c>
      <c r="I863" s="1">
        <v>483</v>
      </c>
      <c r="J863" s="1">
        <v>368</v>
      </c>
      <c r="K863" s="1">
        <v>171129</v>
      </c>
      <c r="L863" s="1" t="s">
        <v>30</v>
      </c>
      <c r="M863" s="1" t="s">
        <v>20</v>
      </c>
      <c r="N863" s="1">
        <v>4.0999999999999996</v>
      </c>
    </row>
    <row r="864" spans="1:14" x14ac:dyDescent="0.3">
      <c r="A864" s="1" t="s">
        <v>1755</v>
      </c>
      <c r="B864" s="1" t="s">
        <v>1756</v>
      </c>
      <c r="C864" s="1">
        <v>25</v>
      </c>
      <c r="D864" s="1" t="s">
        <v>16</v>
      </c>
      <c r="E864" s="1" t="s">
        <v>45</v>
      </c>
      <c r="F864" s="1" t="s">
        <v>81</v>
      </c>
      <c r="G864" s="9">
        <v>734947.2</v>
      </c>
      <c r="H864" s="1">
        <v>908680.28</v>
      </c>
      <c r="I864" s="1">
        <v>593</v>
      </c>
      <c r="J864" s="1">
        <v>210</v>
      </c>
      <c r="K864" s="1">
        <v>169090</v>
      </c>
      <c r="L864" s="1" t="s">
        <v>26</v>
      </c>
      <c r="M864" s="1" t="s">
        <v>33</v>
      </c>
      <c r="N864" s="1">
        <v>2.6</v>
      </c>
    </row>
    <row r="865" spans="1:14" x14ac:dyDescent="0.3">
      <c r="A865" s="1" t="s">
        <v>1757</v>
      </c>
      <c r="B865" s="1" t="s">
        <v>1758</v>
      </c>
      <c r="C865" s="1">
        <v>23</v>
      </c>
      <c r="D865" s="1" t="s">
        <v>16</v>
      </c>
      <c r="E865" s="1" t="s">
        <v>24</v>
      </c>
      <c r="F865" s="1" t="s">
        <v>18</v>
      </c>
      <c r="G865" s="9">
        <v>622725.38</v>
      </c>
      <c r="H865" s="1">
        <v>1125230.68</v>
      </c>
      <c r="I865" s="1">
        <v>343</v>
      </c>
      <c r="J865" s="1">
        <v>322</v>
      </c>
      <c r="K865" s="1">
        <v>198834</v>
      </c>
      <c r="L865" s="1" t="s">
        <v>40</v>
      </c>
      <c r="M865" s="1" t="s">
        <v>20</v>
      </c>
      <c r="N865" s="1">
        <v>4.9000000000000004</v>
      </c>
    </row>
    <row r="866" spans="1:14" x14ac:dyDescent="0.3">
      <c r="A866" s="1" t="s">
        <v>1759</v>
      </c>
      <c r="B866" s="1" t="s">
        <v>1760</v>
      </c>
      <c r="C866" s="1">
        <v>36</v>
      </c>
      <c r="D866" s="1" t="s">
        <v>23</v>
      </c>
      <c r="E866" s="1" t="s">
        <v>29</v>
      </c>
      <c r="F866" s="1" t="s">
        <v>81</v>
      </c>
      <c r="G866" s="9">
        <v>241517.68</v>
      </c>
      <c r="H866" s="1">
        <v>998201.05</v>
      </c>
      <c r="I866" s="1">
        <v>374</v>
      </c>
      <c r="J866" s="1">
        <v>119</v>
      </c>
      <c r="K866" s="1">
        <v>118519</v>
      </c>
      <c r="L866" s="1" t="s">
        <v>30</v>
      </c>
      <c r="M866" s="1" t="s">
        <v>33</v>
      </c>
      <c r="N866" s="1">
        <v>2.6</v>
      </c>
    </row>
    <row r="867" spans="1:14" x14ac:dyDescent="0.3">
      <c r="A867" s="1" t="s">
        <v>1761</v>
      </c>
      <c r="B867" s="1" t="s">
        <v>1762</v>
      </c>
      <c r="C867" s="1">
        <v>59</v>
      </c>
      <c r="D867" s="1" t="s">
        <v>23</v>
      </c>
      <c r="E867" s="1" t="s">
        <v>17</v>
      </c>
      <c r="F867" s="1" t="s">
        <v>39</v>
      </c>
      <c r="G867" s="9">
        <v>1350689.14</v>
      </c>
      <c r="H867" s="1">
        <v>1162132.49</v>
      </c>
      <c r="I867" s="1">
        <v>387</v>
      </c>
      <c r="J867" s="1">
        <v>97</v>
      </c>
      <c r="K867" s="1">
        <v>160277</v>
      </c>
      <c r="L867" s="1" t="s">
        <v>30</v>
      </c>
      <c r="M867" s="1" t="s">
        <v>33</v>
      </c>
      <c r="N867" s="1">
        <v>3.9</v>
      </c>
    </row>
    <row r="868" spans="1:14" x14ac:dyDescent="0.3">
      <c r="A868" s="1" t="s">
        <v>1763</v>
      </c>
      <c r="B868" s="1" t="s">
        <v>1764</v>
      </c>
      <c r="C868" s="1">
        <v>22</v>
      </c>
      <c r="D868" s="1" t="s">
        <v>16</v>
      </c>
      <c r="E868" s="1" t="s">
        <v>55</v>
      </c>
      <c r="F868" s="1" t="s">
        <v>25</v>
      </c>
      <c r="G868" s="9">
        <v>516923.2</v>
      </c>
      <c r="H868" s="1">
        <v>1510923.55</v>
      </c>
      <c r="I868" s="1">
        <v>517</v>
      </c>
      <c r="J868" s="1">
        <v>364</v>
      </c>
      <c r="K868" s="1">
        <v>103174</v>
      </c>
      <c r="L868" s="1" t="s">
        <v>19</v>
      </c>
      <c r="M868" s="1" t="s">
        <v>20</v>
      </c>
      <c r="N868" s="1">
        <v>4</v>
      </c>
    </row>
    <row r="869" spans="1:14" x14ac:dyDescent="0.3">
      <c r="A869" s="1" t="s">
        <v>1765</v>
      </c>
      <c r="B869" s="1" t="s">
        <v>1766</v>
      </c>
      <c r="C869" s="1">
        <v>48</v>
      </c>
      <c r="D869" s="1" t="s">
        <v>16</v>
      </c>
      <c r="E869" s="1" t="s">
        <v>48</v>
      </c>
      <c r="F869" s="1" t="s">
        <v>25</v>
      </c>
      <c r="G869" s="9">
        <v>962123.49</v>
      </c>
      <c r="H869" s="1">
        <v>800466.55</v>
      </c>
      <c r="I869" s="1">
        <v>332</v>
      </c>
      <c r="J869" s="1">
        <v>312</v>
      </c>
      <c r="K869" s="1">
        <v>58145</v>
      </c>
      <c r="L869" s="1" t="s">
        <v>30</v>
      </c>
      <c r="M869" s="1" t="s">
        <v>20</v>
      </c>
      <c r="N869" s="1">
        <v>4.0999999999999996</v>
      </c>
    </row>
    <row r="870" spans="1:14" x14ac:dyDescent="0.3">
      <c r="A870" s="1" t="s">
        <v>1767</v>
      </c>
      <c r="B870" s="1" t="s">
        <v>1768</v>
      </c>
      <c r="C870" s="1">
        <v>21</v>
      </c>
      <c r="D870" s="1" t="s">
        <v>16</v>
      </c>
      <c r="E870" s="1" t="s">
        <v>29</v>
      </c>
      <c r="F870" s="1" t="s">
        <v>39</v>
      </c>
      <c r="G870" s="9">
        <v>1302690.8</v>
      </c>
      <c r="H870" s="1">
        <v>2381612.52</v>
      </c>
      <c r="I870" s="1">
        <v>733</v>
      </c>
      <c r="J870" s="1">
        <v>143</v>
      </c>
      <c r="K870" s="1">
        <v>75441</v>
      </c>
      <c r="L870" s="1" t="s">
        <v>19</v>
      </c>
      <c r="M870" s="1" t="s">
        <v>33</v>
      </c>
      <c r="N870" s="1">
        <v>2</v>
      </c>
    </row>
    <row r="871" spans="1:14" x14ac:dyDescent="0.3">
      <c r="A871" s="1" t="s">
        <v>1769</v>
      </c>
      <c r="B871" s="1" t="s">
        <v>1770</v>
      </c>
      <c r="C871" s="1">
        <v>43</v>
      </c>
      <c r="D871" s="1" t="s">
        <v>23</v>
      </c>
      <c r="E871" s="1" t="s">
        <v>38</v>
      </c>
      <c r="F871" s="1" t="s">
        <v>18</v>
      </c>
      <c r="G871" s="9">
        <v>451013.52</v>
      </c>
      <c r="H871" s="1">
        <v>1780516.76</v>
      </c>
      <c r="I871" s="1">
        <v>729</v>
      </c>
      <c r="J871" s="1">
        <v>273</v>
      </c>
      <c r="K871" s="1">
        <v>41419</v>
      </c>
      <c r="L871" s="1" t="s">
        <v>19</v>
      </c>
      <c r="M871" s="1" t="s">
        <v>33</v>
      </c>
      <c r="N871" s="1">
        <v>1.9</v>
      </c>
    </row>
    <row r="872" spans="1:14" x14ac:dyDescent="0.3">
      <c r="A872" s="1" t="s">
        <v>1771</v>
      </c>
      <c r="B872" s="1" t="s">
        <v>1772</v>
      </c>
      <c r="C872" s="1">
        <v>39</v>
      </c>
      <c r="D872" s="1" t="s">
        <v>16</v>
      </c>
      <c r="E872" s="1" t="s">
        <v>17</v>
      </c>
      <c r="F872" s="1" t="s">
        <v>81</v>
      </c>
      <c r="G872" s="9">
        <v>448872.95</v>
      </c>
      <c r="H872" s="1">
        <v>496513.27</v>
      </c>
      <c r="I872" s="1">
        <v>729</v>
      </c>
      <c r="J872" s="1">
        <v>251</v>
      </c>
      <c r="K872" s="1">
        <v>217440</v>
      </c>
      <c r="L872" s="1" t="s">
        <v>30</v>
      </c>
      <c r="M872" s="1" t="s">
        <v>20</v>
      </c>
      <c r="N872" s="1">
        <v>2.9</v>
      </c>
    </row>
    <row r="873" spans="1:14" x14ac:dyDescent="0.3">
      <c r="A873" s="1" t="s">
        <v>1773</v>
      </c>
      <c r="B873" s="1" t="s">
        <v>1774</v>
      </c>
      <c r="C873" s="1">
        <v>53</v>
      </c>
      <c r="D873" s="1" t="s">
        <v>23</v>
      </c>
      <c r="E873" s="1" t="s">
        <v>76</v>
      </c>
      <c r="F873" s="1" t="s">
        <v>39</v>
      </c>
      <c r="G873" s="9">
        <v>1341200.04</v>
      </c>
      <c r="H873" s="1">
        <v>496399.94</v>
      </c>
      <c r="I873" s="1">
        <v>892</v>
      </c>
      <c r="J873" s="1">
        <v>320</v>
      </c>
      <c r="K873" s="1">
        <v>225277</v>
      </c>
      <c r="L873" s="1" t="s">
        <v>30</v>
      </c>
      <c r="M873" s="1" t="s">
        <v>20</v>
      </c>
      <c r="N873" s="1">
        <v>1.6</v>
      </c>
    </row>
    <row r="874" spans="1:14" x14ac:dyDescent="0.3">
      <c r="A874" s="1" t="s">
        <v>1775</v>
      </c>
      <c r="B874" s="1" t="s">
        <v>1776</v>
      </c>
      <c r="C874" s="1">
        <v>49</v>
      </c>
      <c r="D874" s="1" t="s">
        <v>16</v>
      </c>
      <c r="E874" s="1" t="s">
        <v>45</v>
      </c>
      <c r="F874" s="1" t="s">
        <v>39</v>
      </c>
      <c r="G874" s="9">
        <v>478029.72</v>
      </c>
      <c r="H874" s="1">
        <v>1980042.05</v>
      </c>
      <c r="I874" s="1">
        <v>716</v>
      </c>
      <c r="J874" s="1">
        <v>139</v>
      </c>
      <c r="K874" s="1">
        <v>246571</v>
      </c>
      <c r="L874" s="1" t="s">
        <v>30</v>
      </c>
      <c r="M874" s="1" t="s">
        <v>20</v>
      </c>
      <c r="N874" s="1">
        <v>3.1</v>
      </c>
    </row>
    <row r="875" spans="1:14" x14ac:dyDescent="0.3">
      <c r="A875" s="1" t="s">
        <v>1777</v>
      </c>
      <c r="B875" s="1" t="s">
        <v>1778</v>
      </c>
      <c r="C875" s="1">
        <v>20</v>
      </c>
      <c r="D875" s="1" t="s">
        <v>23</v>
      </c>
      <c r="E875" s="1" t="s">
        <v>24</v>
      </c>
      <c r="F875" s="1" t="s">
        <v>81</v>
      </c>
      <c r="G875" s="9">
        <v>1119832.77</v>
      </c>
      <c r="H875" s="1">
        <v>469142.36</v>
      </c>
      <c r="I875" s="1">
        <v>859</v>
      </c>
      <c r="J875" s="1">
        <v>401</v>
      </c>
      <c r="K875" s="1">
        <v>77310</v>
      </c>
      <c r="L875" s="1" t="s">
        <v>40</v>
      </c>
      <c r="M875" s="1" t="s">
        <v>20</v>
      </c>
      <c r="N875" s="1">
        <v>1.7</v>
      </c>
    </row>
    <row r="876" spans="1:14" x14ac:dyDescent="0.3">
      <c r="A876" s="1" t="s">
        <v>1779</v>
      </c>
      <c r="B876" s="1" t="s">
        <v>1780</v>
      </c>
      <c r="C876" s="1">
        <v>61</v>
      </c>
      <c r="D876" s="1" t="s">
        <v>23</v>
      </c>
      <c r="E876" s="1" t="s">
        <v>29</v>
      </c>
      <c r="F876" s="1" t="s">
        <v>25</v>
      </c>
      <c r="G876" s="9">
        <v>1432881.16</v>
      </c>
      <c r="H876" s="1">
        <v>925641.04</v>
      </c>
      <c r="I876" s="1">
        <v>672</v>
      </c>
      <c r="J876" s="1">
        <v>13</v>
      </c>
      <c r="K876" s="1">
        <v>171214</v>
      </c>
      <c r="L876" s="1" t="s">
        <v>30</v>
      </c>
      <c r="M876" s="1" t="s">
        <v>33</v>
      </c>
      <c r="N876" s="1">
        <v>2.2000000000000002</v>
      </c>
    </row>
    <row r="877" spans="1:14" x14ac:dyDescent="0.3">
      <c r="A877" s="1" t="s">
        <v>1781</v>
      </c>
      <c r="B877" s="1" t="s">
        <v>1782</v>
      </c>
      <c r="C877" s="1">
        <v>44</v>
      </c>
      <c r="D877" s="1" t="s">
        <v>16</v>
      </c>
      <c r="E877" s="1" t="s">
        <v>45</v>
      </c>
      <c r="F877" s="1" t="s">
        <v>25</v>
      </c>
      <c r="G877" s="9">
        <v>531555.78</v>
      </c>
      <c r="H877" s="1">
        <v>1356167.54</v>
      </c>
      <c r="I877" s="1">
        <v>835</v>
      </c>
      <c r="J877" s="1">
        <v>396</v>
      </c>
      <c r="K877" s="1">
        <v>112203</v>
      </c>
      <c r="L877" s="1" t="s">
        <v>26</v>
      </c>
      <c r="M877" s="1" t="s">
        <v>20</v>
      </c>
      <c r="N877" s="1">
        <v>2.2999999999999998</v>
      </c>
    </row>
    <row r="878" spans="1:14" x14ac:dyDescent="0.3">
      <c r="A878" s="1" t="s">
        <v>1783</v>
      </c>
      <c r="B878" s="1" t="s">
        <v>1784</v>
      </c>
      <c r="C878" s="1">
        <v>53</v>
      </c>
      <c r="D878" s="1" t="s">
        <v>23</v>
      </c>
      <c r="E878" s="1" t="s">
        <v>55</v>
      </c>
      <c r="F878" s="1" t="s">
        <v>18</v>
      </c>
      <c r="G878" s="9">
        <v>248172.42</v>
      </c>
      <c r="H878" s="1">
        <v>1089690.4099999999</v>
      </c>
      <c r="I878" s="1">
        <v>591</v>
      </c>
      <c r="J878" s="1">
        <v>437</v>
      </c>
      <c r="K878" s="1">
        <v>175947</v>
      </c>
      <c r="L878" s="1" t="s">
        <v>19</v>
      </c>
      <c r="M878" s="1" t="s">
        <v>20</v>
      </c>
      <c r="N878" s="1">
        <v>3.6</v>
      </c>
    </row>
    <row r="879" spans="1:14" x14ac:dyDescent="0.3">
      <c r="A879" s="1" t="s">
        <v>1785</v>
      </c>
      <c r="B879" s="1" t="s">
        <v>1786</v>
      </c>
      <c r="C879" s="1">
        <v>23</v>
      </c>
      <c r="D879" s="1" t="s">
        <v>16</v>
      </c>
      <c r="E879" s="1" t="s">
        <v>45</v>
      </c>
      <c r="F879" s="1" t="s">
        <v>18</v>
      </c>
      <c r="G879" s="9">
        <v>29557.61</v>
      </c>
      <c r="H879" s="1">
        <v>2331241.88</v>
      </c>
      <c r="I879" s="1">
        <v>406</v>
      </c>
      <c r="J879" s="1">
        <v>259</v>
      </c>
      <c r="K879" s="1">
        <v>190295</v>
      </c>
      <c r="L879" s="1" t="s">
        <v>26</v>
      </c>
      <c r="M879" s="1" t="s">
        <v>33</v>
      </c>
      <c r="N879" s="1">
        <v>4</v>
      </c>
    </row>
    <row r="880" spans="1:14" x14ac:dyDescent="0.3">
      <c r="A880" s="1" t="s">
        <v>1787</v>
      </c>
      <c r="B880" s="1" t="s">
        <v>1788</v>
      </c>
      <c r="C880" s="1">
        <v>31</v>
      </c>
      <c r="D880" s="1" t="s">
        <v>16</v>
      </c>
      <c r="E880" s="1" t="s">
        <v>48</v>
      </c>
      <c r="F880" s="1" t="s">
        <v>25</v>
      </c>
      <c r="G880" s="9">
        <v>1166435.98</v>
      </c>
      <c r="H880" s="1">
        <v>1378969.78</v>
      </c>
      <c r="I880" s="1">
        <v>417</v>
      </c>
      <c r="J880" s="1">
        <v>105</v>
      </c>
      <c r="K880" s="1">
        <v>78426</v>
      </c>
      <c r="L880" s="1" t="s">
        <v>30</v>
      </c>
      <c r="M880" s="1" t="s">
        <v>33</v>
      </c>
      <c r="N880" s="1">
        <v>4.4000000000000004</v>
      </c>
    </row>
    <row r="881" spans="1:14" x14ac:dyDescent="0.3">
      <c r="A881" s="1" t="s">
        <v>1789</v>
      </c>
      <c r="B881" s="1" t="s">
        <v>1790</v>
      </c>
      <c r="C881" s="1">
        <v>18</v>
      </c>
      <c r="D881" s="1" t="s">
        <v>23</v>
      </c>
      <c r="E881" s="1" t="s">
        <v>17</v>
      </c>
      <c r="F881" s="1" t="s">
        <v>39</v>
      </c>
      <c r="G881" s="9">
        <v>1174383.1000000001</v>
      </c>
      <c r="H881" s="1">
        <v>1268902.04</v>
      </c>
      <c r="I881" s="1">
        <v>574</v>
      </c>
      <c r="J881" s="1">
        <v>455</v>
      </c>
      <c r="K881" s="1">
        <v>118210</v>
      </c>
      <c r="L881" s="1" t="s">
        <v>19</v>
      </c>
      <c r="M881" s="1" t="s">
        <v>33</v>
      </c>
      <c r="N881" s="1">
        <v>3.6</v>
      </c>
    </row>
    <row r="882" spans="1:14" x14ac:dyDescent="0.3">
      <c r="A882" s="1" t="s">
        <v>1791</v>
      </c>
      <c r="B882" s="1" t="s">
        <v>1792</v>
      </c>
      <c r="C882" s="1">
        <v>20</v>
      </c>
      <c r="D882" s="1" t="s">
        <v>23</v>
      </c>
      <c r="E882" s="1" t="s">
        <v>48</v>
      </c>
      <c r="F882" s="1" t="s">
        <v>39</v>
      </c>
      <c r="G882" s="9">
        <v>44238.99</v>
      </c>
      <c r="H882" s="1">
        <v>1976275.32</v>
      </c>
      <c r="I882" s="1">
        <v>831</v>
      </c>
      <c r="J882" s="1">
        <v>424</v>
      </c>
      <c r="K882" s="1">
        <v>24071</v>
      </c>
      <c r="L882" s="1" t="s">
        <v>30</v>
      </c>
      <c r="M882" s="1" t="s">
        <v>20</v>
      </c>
      <c r="N882" s="1">
        <v>4</v>
      </c>
    </row>
    <row r="883" spans="1:14" x14ac:dyDescent="0.3">
      <c r="A883" s="1" t="s">
        <v>1793</v>
      </c>
      <c r="B883" s="1" t="s">
        <v>1794</v>
      </c>
      <c r="C883" s="1">
        <v>53</v>
      </c>
      <c r="D883" s="1" t="s">
        <v>23</v>
      </c>
      <c r="E883" s="1" t="s">
        <v>38</v>
      </c>
      <c r="F883" s="1" t="s">
        <v>25</v>
      </c>
      <c r="G883" s="9">
        <v>293027.3</v>
      </c>
      <c r="H883" s="1">
        <v>1611085.9</v>
      </c>
      <c r="I883" s="1">
        <v>352</v>
      </c>
      <c r="J883" s="1">
        <v>415</v>
      </c>
      <c r="K883" s="1">
        <v>122593</v>
      </c>
      <c r="L883" s="1" t="s">
        <v>40</v>
      </c>
      <c r="M883" s="1" t="s">
        <v>33</v>
      </c>
      <c r="N883" s="1">
        <v>4.7</v>
      </c>
    </row>
    <row r="884" spans="1:14" x14ac:dyDescent="0.3">
      <c r="A884" s="1" t="s">
        <v>1795</v>
      </c>
      <c r="B884" s="1" t="s">
        <v>1796</v>
      </c>
      <c r="C884" s="1">
        <v>38</v>
      </c>
      <c r="D884" s="1" t="s">
        <v>23</v>
      </c>
      <c r="E884" s="1" t="s">
        <v>55</v>
      </c>
      <c r="F884" s="1" t="s">
        <v>39</v>
      </c>
      <c r="G884" s="9">
        <v>241873.26</v>
      </c>
      <c r="H884" s="1">
        <v>577423.76</v>
      </c>
      <c r="I884" s="1">
        <v>429</v>
      </c>
      <c r="J884" s="1">
        <v>263</v>
      </c>
      <c r="K884" s="1">
        <v>155601</v>
      </c>
      <c r="L884" s="1" t="s">
        <v>26</v>
      </c>
      <c r="M884" s="1" t="s">
        <v>20</v>
      </c>
      <c r="N884" s="1">
        <v>1.5</v>
      </c>
    </row>
    <row r="885" spans="1:14" x14ac:dyDescent="0.3">
      <c r="A885" s="1" t="s">
        <v>1797</v>
      </c>
      <c r="B885" s="1" t="s">
        <v>1798</v>
      </c>
      <c r="C885" s="1">
        <v>23</v>
      </c>
      <c r="D885" s="1" t="s">
        <v>16</v>
      </c>
      <c r="E885" s="1" t="s">
        <v>17</v>
      </c>
      <c r="F885" s="1" t="s">
        <v>18</v>
      </c>
      <c r="G885" s="9">
        <v>43332.14</v>
      </c>
      <c r="H885" s="1">
        <v>28845.31</v>
      </c>
      <c r="I885" s="1">
        <v>456</v>
      </c>
      <c r="J885" s="1">
        <v>19</v>
      </c>
      <c r="K885" s="1">
        <v>44448</v>
      </c>
      <c r="L885" s="1" t="s">
        <v>40</v>
      </c>
      <c r="M885" s="1" t="s">
        <v>33</v>
      </c>
      <c r="N885" s="1">
        <v>3.5</v>
      </c>
    </row>
    <row r="886" spans="1:14" x14ac:dyDescent="0.3">
      <c r="A886" s="1" t="s">
        <v>1799</v>
      </c>
      <c r="B886" s="1" t="s">
        <v>1800</v>
      </c>
      <c r="C886" s="1">
        <v>58</v>
      </c>
      <c r="D886" s="1" t="s">
        <v>16</v>
      </c>
      <c r="E886" s="1" t="s">
        <v>17</v>
      </c>
      <c r="F886" s="1" t="s">
        <v>81</v>
      </c>
      <c r="G886" s="9">
        <v>1167496.67</v>
      </c>
      <c r="H886" s="1">
        <v>466387.93</v>
      </c>
      <c r="I886" s="1">
        <v>527</v>
      </c>
      <c r="J886" s="1">
        <v>157</v>
      </c>
      <c r="K886" s="1">
        <v>185544</v>
      </c>
      <c r="L886" s="1" t="s">
        <v>19</v>
      </c>
      <c r="M886" s="1" t="s">
        <v>33</v>
      </c>
      <c r="N886" s="1">
        <v>1.8</v>
      </c>
    </row>
    <row r="887" spans="1:14" x14ac:dyDescent="0.3">
      <c r="A887" s="1" t="s">
        <v>1801</v>
      </c>
      <c r="B887" s="1" t="s">
        <v>1802</v>
      </c>
      <c r="C887" s="1">
        <v>23</v>
      </c>
      <c r="D887" s="1" t="s">
        <v>23</v>
      </c>
      <c r="E887" s="1" t="s">
        <v>29</v>
      </c>
      <c r="F887" s="1" t="s">
        <v>18</v>
      </c>
      <c r="G887" s="9">
        <v>943019.82</v>
      </c>
      <c r="H887" s="1">
        <v>1595966.42</v>
      </c>
      <c r="I887" s="1">
        <v>893</v>
      </c>
      <c r="J887" s="1">
        <v>448</v>
      </c>
      <c r="K887" s="1">
        <v>57688</v>
      </c>
      <c r="L887" s="1" t="s">
        <v>40</v>
      </c>
      <c r="M887" s="1" t="s">
        <v>33</v>
      </c>
      <c r="N887" s="1">
        <v>1.4</v>
      </c>
    </row>
    <row r="888" spans="1:14" x14ac:dyDescent="0.3">
      <c r="A888" s="1" t="s">
        <v>1803</v>
      </c>
      <c r="B888" s="1" t="s">
        <v>1804</v>
      </c>
      <c r="C888" s="1">
        <v>34</v>
      </c>
      <c r="D888" s="1" t="s">
        <v>23</v>
      </c>
      <c r="E888" s="1" t="s">
        <v>29</v>
      </c>
      <c r="F888" s="1" t="s">
        <v>25</v>
      </c>
      <c r="G888" s="9">
        <v>143701.82999999999</v>
      </c>
      <c r="H888" s="1">
        <v>1235612.6299999999</v>
      </c>
      <c r="I888" s="1">
        <v>670</v>
      </c>
      <c r="J888" s="1">
        <v>472</v>
      </c>
      <c r="K888" s="1">
        <v>67350</v>
      </c>
      <c r="L888" s="1" t="s">
        <v>19</v>
      </c>
      <c r="M888" s="1" t="s">
        <v>33</v>
      </c>
      <c r="N888" s="1">
        <v>4.4000000000000004</v>
      </c>
    </row>
    <row r="889" spans="1:14" x14ac:dyDescent="0.3">
      <c r="A889" s="1" t="s">
        <v>1805</v>
      </c>
      <c r="B889" s="1" t="s">
        <v>1806</v>
      </c>
      <c r="C889" s="1">
        <v>22</v>
      </c>
      <c r="D889" s="1" t="s">
        <v>23</v>
      </c>
      <c r="E889" s="1" t="s">
        <v>38</v>
      </c>
      <c r="F889" s="1" t="s">
        <v>39</v>
      </c>
      <c r="G889" s="9">
        <v>1439029.67</v>
      </c>
      <c r="H889" s="1">
        <v>190781.71</v>
      </c>
      <c r="I889" s="1">
        <v>729</v>
      </c>
      <c r="J889" s="1">
        <v>197</v>
      </c>
      <c r="K889" s="1">
        <v>147537</v>
      </c>
      <c r="L889" s="1" t="s">
        <v>26</v>
      </c>
      <c r="M889" s="1" t="s">
        <v>20</v>
      </c>
      <c r="N889" s="1">
        <v>4.5999999999999996</v>
      </c>
    </row>
    <row r="890" spans="1:14" x14ac:dyDescent="0.3">
      <c r="A890" s="1" t="s">
        <v>1807</v>
      </c>
      <c r="B890" s="1" t="s">
        <v>1808</v>
      </c>
      <c r="C890" s="1">
        <v>29</v>
      </c>
      <c r="D890" s="1" t="s">
        <v>23</v>
      </c>
      <c r="E890" s="1" t="s">
        <v>45</v>
      </c>
      <c r="F890" s="1" t="s">
        <v>18</v>
      </c>
      <c r="G890" s="9">
        <v>853104.31</v>
      </c>
      <c r="H890" s="1">
        <v>1516637.15</v>
      </c>
      <c r="I890" s="1">
        <v>332</v>
      </c>
      <c r="J890" s="1">
        <v>65</v>
      </c>
      <c r="K890" s="1">
        <v>192927</v>
      </c>
      <c r="L890" s="1" t="s">
        <v>40</v>
      </c>
      <c r="M890" s="1" t="s">
        <v>33</v>
      </c>
      <c r="N890" s="1">
        <v>4.9000000000000004</v>
      </c>
    </row>
    <row r="891" spans="1:14" x14ac:dyDescent="0.3">
      <c r="A891" s="1" t="s">
        <v>1809</v>
      </c>
      <c r="B891" s="1" t="s">
        <v>1810</v>
      </c>
      <c r="C891" s="1">
        <v>25</v>
      </c>
      <c r="D891" s="1" t="s">
        <v>16</v>
      </c>
      <c r="E891" s="1" t="s">
        <v>48</v>
      </c>
      <c r="F891" s="1" t="s">
        <v>18</v>
      </c>
      <c r="G891" s="9">
        <v>911135.61</v>
      </c>
      <c r="H891" s="1">
        <v>1339885.44</v>
      </c>
      <c r="I891" s="1">
        <v>830</v>
      </c>
      <c r="J891" s="1">
        <v>267</v>
      </c>
      <c r="K891" s="1">
        <v>70553</v>
      </c>
      <c r="L891" s="1" t="s">
        <v>40</v>
      </c>
      <c r="M891" s="1" t="s">
        <v>20</v>
      </c>
      <c r="N891" s="1">
        <v>4</v>
      </c>
    </row>
    <row r="892" spans="1:14" x14ac:dyDescent="0.3">
      <c r="A892" s="1" t="s">
        <v>1811</v>
      </c>
      <c r="B892" s="1" t="s">
        <v>1812</v>
      </c>
      <c r="C892" s="1">
        <v>38</v>
      </c>
      <c r="D892" s="1" t="s">
        <v>16</v>
      </c>
      <c r="E892" s="1" t="s">
        <v>29</v>
      </c>
      <c r="F892" s="1" t="s">
        <v>81</v>
      </c>
      <c r="G892" s="9">
        <v>333542.86</v>
      </c>
      <c r="H892" s="1">
        <v>1819359.75</v>
      </c>
      <c r="I892" s="1">
        <v>429</v>
      </c>
      <c r="J892" s="1">
        <v>142</v>
      </c>
      <c r="K892" s="1">
        <v>56323</v>
      </c>
      <c r="L892" s="1" t="s">
        <v>26</v>
      </c>
      <c r="M892" s="1" t="s">
        <v>33</v>
      </c>
      <c r="N892" s="1">
        <v>2.1</v>
      </c>
    </row>
    <row r="893" spans="1:14" x14ac:dyDescent="0.3">
      <c r="A893" s="1" t="s">
        <v>1813</v>
      </c>
      <c r="B893" s="1" t="s">
        <v>1814</v>
      </c>
      <c r="C893" s="1">
        <v>65</v>
      </c>
      <c r="D893" s="1" t="s">
        <v>16</v>
      </c>
      <c r="E893" s="1" t="s">
        <v>24</v>
      </c>
      <c r="F893" s="1" t="s">
        <v>81</v>
      </c>
      <c r="G893" s="9">
        <v>746223.55</v>
      </c>
      <c r="H893" s="1">
        <v>1281641.3700000001</v>
      </c>
      <c r="I893" s="1">
        <v>709</v>
      </c>
      <c r="J893" s="1">
        <v>477</v>
      </c>
      <c r="K893" s="1">
        <v>232077</v>
      </c>
      <c r="L893" s="1" t="s">
        <v>30</v>
      </c>
      <c r="M893" s="1" t="s">
        <v>20</v>
      </c>
      <c r="N893" s="1">
        <v>1.8</v>
      </c>
    </row>
    <row r="894" spans="1:14" x14ac:dyDescent="0.3">
      <c r="A894" s="1" t="s">
        <v>1815</v>
      </c>
      <c r="B894" s="1" t="s">
        <v>1816</v>
      </c>
      <c r="C894" s="1">
        <v>55</v>
      </c>
      <c r="D894" s="1" t="s">
        <v>23</v>
      </c>
      <c r="E894" s="1" t="s">
        <v>45</v>
      </c>
      <c r="F894" s="1" t="s">
        <v>25</v>
      </c>
      <c r="G894" s="9">
        <v>1150841.06</v>
      </c>
      <c r="H894" s="1">
        <v>778962.82</v>
      </c>
      <c r="I894" s="1">
        <v>510</v>
      </c>
      <c r="J894" s="1">
        <v>493</v>
      </c>
      <c r="K894" s="1">
        <v>227920</v>
      </c>
      <c r="L894" s="1" t="s">
        <v>26</v>
      </c>
      <c r="M894" s="1" t="s">
        <v>33</v>
      </c>
      <c r="N894" s="1">
        <v>3.9</v>
      </c>
    </row>
    <row r="895" spans="1:14" x14ac:dyDescent="0.3">
      <c r="A895" s="1" t="s">
        <v>1817</v>
      </c>
      <c r="B895" s="1" t="s">
        <v>1818</v>
      </c>
      <c r="C895" s="1">
        <v>57</v>
      </c>
      <c r="D895" s="1" t="s">
        <v>16</v>
      </c>
      <c r="E895" s="1" t="s">
        <v>45</v>
      </c>
      <c r="F895" s="1" t="s">
        <v>39</v>
      </c>
      <c r="G895" s="9">
        <v>912907</v>
      </c>
      <c r="H895" s="1">
        <v>1073282.44</v>
      </c>
      <c r="I895" s="1">
        <v>880</v>
      </c>
      <c r="J895" s="1">
        <v>185</v>
      </c>
      <c r="K895" s="1">
        <v>48195</v>
      </c>
      <c r="L895" s="1" t="s">
        <v>19</v>
      </c>
      <c r="M895" s="1" t="s">
        <v>33</v>
      </c>
      <c r="N895" s="1">
        <v>2.5</v>
      </c>
    </row>
    <row r="896" spans="1:14" x14ac:dyDescent="0.3">
      <c r="A896" s="1" t="s">
        <v>1819</v>
      </c>
      <c r="B896" s="1" t="s">
        <v>1820</v>
      </c>
      <c r="C896" s="1">
        <v>55</v>
      </c>
      <c r="D896" s="1" t="s">
        <v>16</v>
      </c>
      <c r="E896" s="1" t="s">
        <v>38</v>
      </c>
      <c r="F896" s="1" t="s">
        <v>81</v>
      </c>
      <c r="G896" s="9">
        <v>443742.95</v>
      </c>
      <c r="H896" s="1">
        <v>2066716.05</v>
      </c>
      <c r="I896" s="1">
        <v>843</v>
      </c>
      <c r="J896" s="1">
        <v>185</v>
      </c>
      <c r="K896" s="1">
        <v>127428</v>
      </c>
      <c r="L896" s="1" t="s">
        <v>30</v>
      </c>
      <c r="M896" s="1" t="s">
        <v>20</v>
      </c>
      <c r="N896" s="1">
        <v>2.6</v>
      </c>
    </row>
    <row r="897" spans="1:14" x14ac:dyDescent="0.3">
      <c r="A897" s="1" t="s">
        <v>1821</v>
      </c>
      <c r="B897" s="1" t="s">
        <v>1822</v>
      </c>
      <c r="C897" s="1">
        <v>40</v>
      </c>
      <c r="D897" s="1" t="s">
        <v>16</v>
      </c>
      <c r="E897" s="1" t="s">
        <v>76</v>
      </c>
      <c r="F897" s="1" t="s">
        <v>81</v>
      </c>
      <c r="G897" s="9">
        <v>113597.3</v>
      </c>
      <c r="H897" s="1">
        <v>1642386.53</v>
      </c>
      <c r="I897" s="1">
        <v>680</v>
      </c>
      <c r="J897" s="1">
        <v>79</v>
      </c>
      <c r="K897" s="1">
        <v>84308</v>
      </c>
      <c r="L897" s="1" t="s">
        <v>19</v>
      </c>
      <c r="M897" s="1" t="s">
        <v>33</v>
      </c>
      <c r="N897" s="1">
        <v>4.0999999999999996</v>
      </c>
    </row>
    <row r="898" spans="1:14" x14ac:dyDescent="0.3">
      <c r="A898" s="1" t="s">
        <v>1823</v>
      </c>
      <c r="B898" s="1" t="s">
        <v>1824</v>
      </c>
      <c r="C898" s="1">
        <v>31</v>
      </c>
      <c r="D898" s="1" t="s">
        <v>23</v>
      </c>
      <c r="E898" s="1" t="s">
        <v>24</v>
      </c>
      <c r="F898" s="1" t="s">
        <v>39</v>
      </c>
      <c r="G898" s="9">
        <v>853366.53</v>
      </c>
      <c r="H898" s="1">
        <v>803903.1</v>
      </c>
      <c r="I898" s="1">
        <v>538</v>
      </c>
      <c r="J898" s="1">
        <v>292</v>
      </c>
      <c r="K898" s="1">
        <v>141995</v>
      </c>
      <c r="L898" s="1" t="s">
        <v>19</v>
      </c>
      <c r="M898" s="1" t="s">
        <v>33</v>
      </c>
      <c r="N898" s="1">
        <v>1.3</v>
      </c>
    </row>
    <row r="899" spans="1:14" x14ac:dyDescent="0.3">
      <c r="A899" s="1" t="s">
        <v>1825</v>
      </c>
      <c r="B899" s="1" t="s">
        <v>1826</v>
      </c>
      <c r="C899" s="1">
        <v>63</v>
      </c>
      <c r="D899" s="1" t="s">
        <v>23</v>
      </c>
      <c r="E899" s="1" t="s">
        <v>17</v>
      </c>
      <c r="F899" s="1" t="s">
        <v>81</v>
      </c>
      <c r="G899" s="9">
        <v>1419675.24</v>
      </c>
      <c r="H899" s="1">
        <v>2018566.24</v>
      </c>
      <c r="I899" s="1">
        <v>376</v>
      </c>
      <c r="J899" s="1">
        <v>298</v>
      </c>
      <c r="K899" s="1">
        <v>179358</v>
      </c>
      <c r="L899" s="1" t="s">
        <v>26</v>
      </c>
      <c r="M899" s="1" t="s">
        <v>20</v>
      </c>
      <c r="N899" s="1">
        <v>4.5999999999999996</v>
      </c>
    </row>
    <row r="900" spans="1:14" x14ac:dyDescent="0.3">
      <c r="A900" s="1" t="s">
        <v>1827</v>
      </c>
      <c r="B900" s="1" t="s">
        <v>1828</v>
      </c>
      <c r="C900" s="1">
        <v>30</v>
      </c>
      <c r="D900" s="1" t="s">
        <v>23</v>
      </c>
      <c r="E900" s="1" t="s">
        <v>38</v>
      </c>
      <c r="F900" s="1" t="s">
        <v>81</v>
      </c>
      <c r="G900" s="9">
        <v>1205074.1599999999</v>
      </c>
      <c r="H900" s="1">
        <v>1246627.42</v>
      </c>
      <c r="I900" s="1">
        <v>581</v>
      </c>
      <c r="J900" s="1">
        <v>220</v>
      </c>
      <c r="K900" s="1">
        <v>33018</v>
      </c>
      <c r="L900" s="1" t="s">
        <v>30</v>
      </c>
      <c r="M900" s="1" t="s">
        <v>20</v>
      </c>
      <c r="N900" s="1">
        <v>1.5</v>
      </c>
    </row>
    <row r="901" spans="1:14" x14ac:dyDescent="0.3">
      <c r="A901" s="1" t="s">
        <v>1829</v>
      </c>
      <c r="B901" s="1" t="s">
        <v>1830</v>
      </c>
      <c r="C901" s="1">
        <v>54</v>
      </c>
      <c r="D901" s="1" t="s">
        <v>23</v>
      </c>
      <c r="E901" s="1" t="s">
        <v>38</v>
      </c>
      <c r="F901" s="1" t="s">
        <v>25</v>
      </c>
      <c r="G901" s="9">
        <v>431130.19</v>
      </c>
      <c r="H901" s="1">
        <v>1609166.52</v>
      </c>
      <c r="I901" s="1">
        <v>889</v>
      </c>
      <c r="J901" s="1">
        <v>7</v>
      </c>
      <c r="K901" s="1">
        <v>25575</v>
      </c>
      <c r="L901" s="1" t="s">
        <v>19</v>
      </c>
      <c r="M901" s="1" t="s">
        <v>20</v>
      </c>
      <c r="N901" s="1">
        <v>4.5999999999999996</v>
      </c>
    </row>
    <row r="902" spans="1:14" x14ac:dyDescent="0.3">
      <c r="A902" s="1" t="s">
        <v>1831</v>
      </c>
      <c r="B902" s="1" t="s">
        <v>1832</v>
      </c>
      <c r="C902" s="1">
        <v>39</v>
      </c>
      <c r="D902" s="1" t="s">
        <v>23</v>
      </c>
      <c r="E902" s="1" t="s">
        <v>48</v>
      </c>
      <c r="F902" s="1" t="s">
        <v>25</v>
      </c>
      <c r="G902" s="9">
        <v>29327.08</v>
      </c>
      <c r="H902" s="1">
        <v>1174733.3799999999</v>
      </c>
      <c r="I902" s="1">
        <v>725</v>
      </c>
      <c r="J902" s="1">
        <v>375</v>
      </c>
      <c r="K902" s="1">
        <v>189024</v>
      </c>
      <c r="L902" s="1" t="s">
        <v>19</v>
      </c>
      <c r="M902" s="1" t="s">
        <v>33</v>
      </c>
      <c r="N902" s="1">
        <v>2.2000000000000002</v>
      </c>
    </row>
    <row r="903" spans="1:14" x14ac:dyDescent="0.3">
      <c r="A903" s="1" t="s">
        <v>1833</v>
      </c>
      <c r="B903" s="1" t="s">
        <v>1834</v>
      </c>
      <c r="C903" s="1">
        <v>49</v>
      </c>
      <c r="D903" s="1" t="s">
        <v>16</v>
      </c>
      <c r="E903" s="1" t="s">
        <v>48</v>
      </c>
      <c r="F903" s="1" t="s">
        <v>18</v>
      </c>
      <c r="G903" s="9">
        <v>75373.789999999994</v>
      </c>
      <c r="H903" s="1">
        <v>746109.54</v>
      </c>
      <c r="I903" s="1">
        <v>765</v>
      </c>
      <c r="J903" s="1">
        <v>257</v>
      </c>
      <c r="K903" s="1">
        <v>180516</v>
      </c>
      <c r="L903" s="1" t="s">
        <v>19</v>
      </c>
      <c r="M903" s="1" t="s">
        <v>20</v>
      </c>
      <c r="N903" s="1">
        <v>4.4000000000000004</v>
      </c>
    </row>
    <row r="904" spans="1:14" x14ac:dyDescent="0.3">
      <c r="A904" s="1" t="s">
        <v>1835</v>
      </c>
      <c r="B904" s="1" t="s">
        <v>1836</v>
      </c>
      <c r="C904" s="1">
        <v>21</v>
      </c>
      <c r="D904" s="1" t="s">
        <v>23</v>
      </c>
      <c r="E904" s="1" t="s">
        <v>24</v>
      </c>
      <c r="F904" s="1" t="s">
        <v>39</v>
      </c>
      <c r="G904" s="9">
        <v>20542.060000000001</v>
      </c>
      <c r="H904" s="1">
        <v>262839.24</v>
      </c>
      <c r="I904" s="1">
        <v>630</v>
      </c>
      <c r="J904" s="1">
        <v>446</v>
      </c>
      <c r="K904" s="1">
        <v>236388</v>
      </c>
      <c r="L904" s="1" t="s">
        <v>19</v>
      </c>
      <c r="M904" s="1" t="s">
        <v>20</v>
      </c>
      <c r="N904" s="1">
        <v>3.8</v>
      </c>
    </row>
    <row r="905" spans="1:14" x14ac:dyDescent="0.3">
      <c r="A905" s="1" t="s">
        <v>1837</v>
      </c>
      <c r="B905" s="1" t="s">
        <v>1838</v>
      </c>
      <c r="C905" s="1">
        <v>64</v>
      </c>
      <c r="D905" s="1" t="s">
        <v>16</v>
      </c>
      <c r="E905" s="1" t="s">
        <v>55</v>
      </c>
      <c r="F905" s="1" t="s">
        <v>18</v>
      </c>
      <c r="G905" s="9">
        <v>556474.9</v>
      </c>
      <c r="H905" s="1">
        <v>2257201.46</v>
      </c>
      <c r="I905" s="1">
        <v>305</v>
      </c>
      <c r="J905" s="1">
        <v>483</v>
      </c>
      <c r="K905" s="1">
        <v>232934</v>
      </c>
      <c r="L905" s="1" t="s">
        <v>19</v>
      </c>
      <c r="M905" s="1" t="s">
        <v>20</v>
      </c>
      <c r="N905" s="1">
        <v>3.8</v>
      </c>
    </row>
    <row r="906" spans="1:14" x14ac:dyDescent="0.3">
      <c r="A906" s="1" t="s">
        <v>1839</v>
      </c>
      <c r="B906" s="1" t="s">
        <v>1840</v>
      </c>
      <c r="C906" s="1">
        <v>37</v>
      </c>
      <c r="D906" s="1" t="s">
        <v>16</v>
      </c>
      <c r="E906" s="1" t="s">
        <v>45</v>
      </c>
      <c r="F906" s="1" t="s">
        <v>18</v>
      </c>
      <c r="G906" s="9">
        <v>399272.06</v>
      </c>
      <c r="H906" s="1">
        <v>1719803.99</v>
      </c>
      <c r="I906" s="1">
        <v>688</v>
      </c>
      <c r="J906" s="1">
        <v>143</v>
      </c>
      <c r="K906" s="1">
        <v>39671</v>
      </c>
      <c r="L906" s="1" t="s">
        <v>40</v>
      </c>
      <c r="M906" s="1" t="s">
        <v>33</v>
      </c>
      <c r="N906" s="1">
        <v>3.8</v>
      </c>
    </row>
    <row r="907" spans="1:14" x14ac:dyDescent="0.3">
      <c r="A907" s="1" t="s">
        <v>1841</v>
      </c>
      <c r="B907" s="1" t="s">
        <v>1842</v>
      </c>
      <c r="C907" s="1">
        <v>27</v>
      </c>
      <c r="D907" s="1" t="s">
        <v>16</v>
      </c>
      <c r="E907" s="1" t="s">
        <v>24</v>
      </c>
      <c r="F907" s="1" t="s">
        <v>25</v>
      </c>
      <c r="G907" s="9">
        <v>878274.8</v>
      </c>
      <c r="H907" s="1">
        <v>2125384.25</v>
      </c>
      <c r="I907" s="1">
        <v>723</v>
      </c>
      <c r="J907" s="1">
        <v>331</v>
      </c>
      <c r="K907" s="1">
        <v>217403</v>
      </c>
      <c r="L907" s="1" t="s">
        <v>30</v>
      </c>
      <c r="M907" s="1" t="s">
        <v>33</v>
      </c>
      <c r="N907" s="1">
        <v>2.8</v>
      </c>
    </row>
    <row r="908" spans="1:14" x14ac:dyDescent="0.3">
      <c r="A908" s="1" t="s">
        <v>1843</v>
      </c>
      <c r="B908" s="1" t="s">
        <v>1844</v>
      </c>
      <c r="C908" s="1">
        <v>38</v>
      </c>
      <c r="D908" s="1" t="s">
        <v>16</v>
      </c>
      <c r="E908" s="1" t="s">
        <v>48</v>
      </c>
      <c r="F908" s="1" t="s">
        <v>39</v>
      </c>
      <c r="G908" s="9">
        <v>1097642.55</v>
      </c>
      <c r="H908" s="1">
        <v>564576.30000000005</v>
      </c>
      <c r="I908" s="1">
        <v>570</v>
      </c>
      <c r="J908" s="1">
        <v>397</v>
      </c>
      <c r="K908" s="1">
        <v>222543</v>
      </c>
      <c r="L908" s="1" t="s">
        <v>40</v>
      </c>
      <c r="M908" s="1" t="s">
        <v>20</v>
      </c>
      <c r="N908" s="1">
        <v>2.2000000000000002</v>
      </c>
    </row>
    <row r="909" spans="1:14" x14ac:dyDescent="0.3">
      <c r="A909" s="1" t="s">
        <v>1845</v>
      </c>
      <c r="B909" s="1" t="s">
        <v>1846</v>
      </c>
      <c r="C909" s="1">
        <v>22</v>
      </c>
      <c r="D909" s="1" t="s">
        <v>16</v>
      </c>
      <c r="E909" s="1" t="s">
        <v>45</v>
      </c>
      <c r="F909" s="1" t="s">
        <v>18</v>
      </c>
      <c r="G909" s="9">
        <v>95099.06</v>
      </c>
      <c r="H909" s="1">
        <v>32820.269999999997</v>
      </c>
      <c r="I909" s="1">
        <v>521</v>
      </c>
      <c r="J909" s="1">
        <v>244</v>
      </c>
      <c r="K909" s="1">
        <v>149657</v>
      </c>
      <c r="L909" s="1" t="s">
        <v>26</v>
      </c>
      <c r="M909" s="1" t="s">
        <v>20</v>
      </c>
      <c r="N909" s="1">
        <v>4.3</v>
      </c>
    </row>
    <row r="910" spans="1:14" x14ac:dyDescent="0.3">
      <c r="A910" s="1" t="s">
        <v>1847</v>
      </c>
      <c r="B910" s="1" t="s">
        <v>1848</v>
      </c>
      <c r="C910" s="1">
        <v>70</v>
      </c>
      <c r="D910" s="1" t="s">
        <v>23</v>
      </c>
      <c r="E910" s="1" t="s">
        <v>38</v>
      </c>
      <c r="F910" s="1" t="s">
        <v>18</v>
      </c>
      <c r="G910" s="9">
        <v>1143595.79</v>
      </c>
      <c r="H910" s="1">
        <v>1284818.29</v>
      </c>
      <c r="I910" s="1">
        <v>620</v>
      </c>
      <c r="J910" s="1">
        <v>394</v>
      </c>
      <c r="K910" s="1">
        <v>174802</v>
      </c>
      <c r="L910" s="1" t="s">
        <v>40</v>
      </c>
      <c r="M910" s="1" t="s">
        <v>20</v>
      </c>
      <c r="N910" s="1">
        <v>4.8</v>
      </c>
    </row>
    <row r="911" spans="1:14" x14ac:dyDescent="0.3">
      <c r="A911" s="1" t="s">
        <v>1849</v>
      </c>
      <c r="B911" s="1" t="s">
        <v>1850</v>
      </c>
      <c r="C911" s="1">
        <v>41</v>
      </c>
      <c r="D911" s="1" t="s">
        <v>16</v>
      </c>
      <c r="E911" s="1" t="s">
        <v>29</v>
      </c>
      <c r="F911" s="1" t="s">
        <v>81</v>
      </c>
      <c r="G911" s="9">
        <v>1462721.7</v>
      </c>
      <c r="H911" s="1">
        <v>2169646.9700000002</v>
      </c>
      <c r="I911" s="1">
        <v>825</v>
      </c>
      <c r="J911" s="1">
        <v>108</v>
      </c>
      <c r="K911" s="1">
        <v>121076</v>
      </c>
      <c r="L911" s="1" t="s">
        <v>30</v>
      </c>
      <c r="M911" s="1" t="s">
        <v>20</v>
      </c>
      <c r="N911" s="1">
        <v>4.0999999999999996</v>
      </c>
    </row>
    <row r="912" spans="1:14" x14ac:dyDescent="0.3">
      <c r="A912" s="1" t="s">
        <v>1851</v>
      </c>
      <c r="B912" s="1" t="s">
        <v>1852</v>
      </c>
      <c r="C912" s="1">
        <v>61</v>
      </c>
      <c r="D912" s="1" t="s">
        <v>16</v>
      </c>
      <c r="E912" s="1" t="s">
        <v>29</v>
      </c>
      <c r="F912" s="1" t="s">
        <v>39</v>
      </c>
      <c r="G912" s="9">
        <v>1427484.42</v>
      </c>
      <c r="H912" s="1">
        <v>1443105.71</v>
      </c>
      <c r="I912" s="1">
        <v>404</v>
      </c>
      <c r="J912" s="1">
        <v>80</v>
      </c>
      <c r="K912" s="1">
        <v>100516</v>
      </c>
      <c r="L912" s="1" t="s">
        <v>19</v>
      </c>
      <c r="M912" s="1" t="s">
        <v>33</v>
      </c>
      <c r="N912" s="1">
        <v>2.8</v>
      </c>
    </row>
    <row r="913" spans="1:14" x14ac:dyDescent="0.3">
      <c r="A913" s="1" t="s">
        <v>1853</v>
      </c>
      <c r="B913" s="1" t="s">
        <v>1854</v>
      </c>
      <c r="C913" s="1">
        <v>29</v>
      </c>
      <c r="D913" s="1" t="s">
        <v>16</v>
      </c>
      <c r="E913" s="1" t="s">
        <v>48</v>
      </c>
      <c r="F913" s="1" t="s">
        <v>25</v>
      </c>
      <c r="G913" s="9">
        <v>47736.44</v>
      </c>
      <c r="H913" s="1">
        <v>1654713.76</v>
      </c>
      <c r="I913" s="1">
        <v>763</v>
      </c>
      <c r="J913" s="1">
        <v>185</v>
      </c>
      <c r="K913" s="1">
        <v>89928</v>
      </c>
      <c r="L913" s="1" t="s">
        <v>40</v>
      </c>
      <c r="M913" s="1" t="s">
        <v>20</v>
      </c>
      <c r="N913" s="1">
        <v>2.1</v>
      </c>
    </row>
    <row r="914" spans="1:14" x14ac:dyDescent="0.3">
      <c r="A914" s="1" t="s">
        <v>1855</v>
      </c>
      <c r="B914" s="1" t="s">
        <v>1856</v>
      </c>
      <c r="C914" s="1">
        <v>43</v>
      </c>
      <c r="D914" s="1" t="s">
        <v>16</v>
      </c>
      <c r="E914" s="1" t="s">
        <v>17</v>
      </c>
      <c r="F914" s="1" t="s">
        <v>25</v>
      </c>
      <c r="G914" s="9">
        <v>649118.39</v>
      </c>
      <c r="H914" s="1">
        <v>834348.76</v>
      </c>
      <c r="I914" s="1">
        <v>751</v>
      </c>
      <c r="J914" s="1">
        <v>144</v>
      </c>
      <c r="K914" s="1">
        <v>151646</v>
      </c>
      <c r="L914" s="1" t="s">
        <v>40</v>
      </c>
      <c r="M914" s="1" t="s">
        <v>33</v>
      </c>
      <c r="N914" s="1">
        <v>2.5</v>
      </c>
    </row>
    <row r="915" spans="1:14" x14ac:dyDescent="0.3">
      <c r="A915" s="1" t="s">
        <v>1857</v>
      </c>
      <c r="B915" s="1" t="s">
        <v>1858</v>
      </c>
      <c r="C915" s="1">
        <v>30</v>
      </c>
      <c r="D915" s="1" t="s">
        <v>16</v>
      </c>
      <c r="E915" s="1" t="s">
        <v>24</v>
      </c>
      <c r="F915" s="1" t="s">
        <v>18</v>
      </c>
      <c r="G915" s="9">
        <v>269084.43</v>
      </c>
      <c r="H915" s="1">
        <v>689814.25</v>
      </c>
      <c r="I915" s="1">
        <v>805</v>
      </c>
      <c r="J915" s="1">
        <v>270</v>
      </c>
      <c r="K915" s="1">
        <v>125563</v>
      </c>
      <c r="L915" s="1" t="s">
        <v>40</v>
      </c>
      <c r="M915" s="1" t="s">
        <v>20</v>
      </c>
      <c r="N915" s="1">
        <v>2.7</v>
      </c>
    </row>
    <row r="916" spans="1:14" x14ac:dyDescent="0.3">
      <c r="A916" s="1" t="s">
        <v>1859</v>
      </c>
      <c r="B916" s="1" t="s">
        <v>1860</v>
      </c>
      <c r="C916" s="1">
        <v>21</v>
      </c>
      <c r="D916" s="1" t="s">
        <v>23</v>
      </c>
      <c r="E916" s="1" t="s">
        <v>17</v>
      </c>
      <c r="F916" s="1" t="s">
        <v>25</v>
      </c>
      <c r="G916" s="9">
        <v>864969.6</v>
      </c>
      <c r="H916" s="1">
        <v>596917.82999999996</v>
      </c>
      <c r="I916" s="1">
        <v>844</v>
      </c>
      <c r="J916" s="1">
        <v>56</v>
      </c>
      <c r="K916" s="1">
        <v>29355</v>
      </c>
      <c r="L916" s="1" t="s">
        <v>19</v>
      </c>
      <c r="M916" s="1" t="s">
        <v>20</v>
      </c>
      <c r="N916" s="1">
        <v>2.1</v>
      </c>
    </row>
    <row r="917" spans="1:14" x14ac:dyDescent="0.3">
      <c r="A917" s="1" t="s">
        <v>1861</v>
      </c>
      <c r="B917" s="1" t="s">
        <v>1862</v>
      </c>
      <c r="C917" s="1">
        <v>64</v>
      </c>
      <c r="D917" s="1" t="s">
        <v>23</v>
      </c>
      <c r="E917" s="1" t="s">
        <v>55</v>
      </c>
      <c r="F917" s="1" t="s">
        <v>81</v>
      </c>
      <c r="G917" s="9">
        <v>1319893.8700000001</v>
      </c>
      <c r="H917" s="1">
        <v>670667.37</v>
      </c>
      <c r="I917" s="1">
        <v>510</v>
      </c>
      <c r="J917" s="1">
        <v>92</v>
      </c>
      <c r="K917" s="1">
        <v>236024</v>
      </c>
      <c r="L917" s="1" t="s">
        <v>19</v>
      </c>
      <c r="M917" s="1" t="s">
        <v>20</v>
      </c>
      <c r="N917" s="1">
        <v>4.0999999999999996</v>
      </c>
    </row>
    <row r="918" spans="1:14" x14ac:dyDescent="0.3">
      <c r="A918" s="1" t="s">
        <v>1863</v>
      </c>
      <c r="B918" s="1" t="s">
        <v>1864</v>
      </c>
      <c r="C918" s="1">
        <v>29</v>
      </c>
      <c r="D918" s="1" t="s">
        <v>16</v>
      </c>
      <c r="E918" s="1" t="s">
        <v>38</v>
      </c>
      <c r="F918" s="1" t="s">
        <v>81</v>
      </c>
      <c r="G918" s="9">
        <v>1362134.75</v>
      </c>
      <c r="H918" s="1">
        <v>1555295.87</v>
      </c>
      <c r="I918" s="1">
        <v>612</v>
      </c>
      <c r="J918" s="1">
        <v>441</v>
      </c>
      <c r="K918" s="1">
        <v>151921</v>
      </c>
      <c r="L918" s="1" t="s">
        <v>19</v>
      </c>
      <c r="M918" s="1" t="s">
        <v>20</v>
      </c>
      <c r="N918" s="1">
        <v>4.5999999999999996</v>
      </c>
    </row>
    <row r="919" spans="1:14" x14ac:dyDescent="0.3">
      <c r="A919" s="1" t="s">
        <v>1865</v>
      </c>
      <c r="B919" s="1" t="s">
        <v>1866</v>
      </c>
      <c r="C919" s="1">
        <v>29</v>
      </c>
      <c r="D919" s="1" t="s">
        <v>23</v>
      </c>
      <c r="E919" s="1" t="s">
        <v>76</v>
      </c>
      <c r="F919" s="1" t="s">
        <v>39</v>
      </c>
      <c r="G919" s="9">
        <v>1350304.49</v>
      </c>
      <c r="H919" s="1">
        <v>354584.14</v>
      </c>
      <c r="I919" s="1">
        <v>313</v>
      </c>
      <c r="J919" s="1">
        <v>346</v>
      </c>
      <c r="K919" s="1">
        <v>107072</v>
      </c>
      <c r="L919" s="1" t="s">
        <v>26</v>
      </c>
      <c r="M919" s="1" t="s">
        <v>20</v>
      </c>
      <c r="N919" s="1">
        <v>2.9</v>
      </c>
    </row>
    <row r="920" spans="1:14" x14ac:dyDescent="0.3">
      <c r="A920" s="1" t="s">
        <v>1867</v>
      </c>
      <c r="B920" s="1" t="s">
        <v>1868</v>
      </c>
      <c r="C920" s="1">
        <v>28</v>
      </c>
      <c r="D920" s="1" t="s">
        <v>23</v>
      </c>
      <c r="E920" s="1" t="s">
        <v>24</v>
      </c>
      <c r="F920" s="1" t="s">
        <v>25</v>
      </c>
      <c r="G920" s="9">
        <v>1141589.82</v>
      </c>
      <c r="H920" s="1">
        <v>24334.69</v>
      </c>
      <c r="I920" s="1">
        <v>660</v>
      </c>
      <c r="J920" s="1">
        <v>247</v>
      </c>
      <c r="K920" s="1">
        <v>198048</v>
      </c>
      <c r="L920" s="1" t="s">
        <v>19</v>
      </c>
      <c r="M920" s="1" t="s">
        <v>20</v>
      </c>
      <c r="N920" s="1">
        <v>3.3</v>
      </c>
    </row>
    <row r="921" spans="1:14" x14ac:dyDescent="0.3">
      <c r="A921" s="1" t="s">
        <v>1869</v>
      </c>
      <c r="B921" s="1" t="s">
        <v>1870</v>
      </c>
      <c r="C921" s="1">
        <v>70</v>
      </c>
      <c r="D921" s="1" t="s">
        <v>16</v>
      </c>
      <c r="E921" s="1" t="s">
        <v>29</v>
      </c>
      <c r="F921" s="1" t="s">
        <v>18</v>
      </c>
      <c r="G921" s="9">
        <v>853063.76</v>
      </c>
      <c r="H921" s="1">
        <v>2476032.75</v>
      </c>
      <c r="I921" s="1">
        <v>533</v>
      </c>
      <c r="J921" s="1">
        <v>273</v>
      </c>
      <c r="K921" s="1">
        <v>24558</v>
      </c>
      <c r="L921" s="1" t="s">
        <v>26</v>
      </c>
      <c r="M921" s="1" t="s">
        <v>33</v>
      </c>
      <c r="N921" s="1">
        <v>3</v>
      </c>
    </row>
    <row r="922" spans="1:14" x14ac:dyDescent="0.3">
      <c r="A922" s="1" t="s">
        <v>1871</v>
      </c>
      <c r="B922" s="1" t="s">
        <v>1872</v>
      </c>
      <c r="C922" s="1">
        <v>46</v>
      </c>
      <c r="D922" s="1" t="s">
        <v>23</v>
      </c>
      <c r="E922" s="1" t="s">
        <v>45</v>
      </c>
      <c r="F922" s="1" t="s">
        <v>18</v>
      </c>
      <c r="G922" s="9">
        <v>1103548.43</v>
      </c>
      <c r="H922" s="1">
        <v>2474482.7999999998</v>
      </c>
      <c r="I922" s="1">
        <v>563</v>
      </c>
      <c r="J922" s="1">
        <v>344</v>
      </c>
      <c r="K922" s="1">
        <v>148624</v>
      </c>
      <c r="L922" s="1" t="s">
        <v>26</v>
      </c>
      <c r="M922" s="1" t="s">
        <v>33</v>
      </c>
      <c r="N922" s="1">
        <v>2.9</v>
      </c>
    </row>
    <row r="923" spans="1:14" x14ac:dyDescent="0.3">
      <c r="A923" s="1" t="s">
        <v>1873</v>
      </c>
      <c r="B923" s="1" t="s">
        <v>1874</v>
      </c>
      <c r="C923" s="1">
        <v>63</v>
      </c>
      <c r="D923" s="1" t="s">
        <v>16</v>
      </c>
      <c r="E923" s="1" t="s">
        <v>38</v>
      </c>
      <c r="F923" s="1" t="s">
        <v>25</v>
      </c>
      <c r="G923" s="9">
        <v>1337601.76</v>
      </c>
      <c r="H923" s="1">
        <v>1936315.74</v>
      </c>
      <c r="I923" s="1">
        <v>795</v>
      </c>
      <c r="J923" s="1">
        <v>62</v>
      </c>
      <c r="K923" s="1">
        <v>107487</v>
      </c>
      <c r="L923" s="1" t="s">
        <v>40</v>
      </c>
      <c r="M923" s="1" t="s">
        <v>20</v>
      </c>
      <c r="N923" s="1">
        <v>2.1</v>
      </c>
    </row>
    <row r="924" spans="1:14" x14ac:dyDescent="0.3">
      <c r="A924" s="1" t="s">
        <v>1875</v>
      </c>
      <c r="B924" s="1" t="s">
        <v>1876</v>
      </c>
      <c r="C924" s="1">
        <v>40</v>
      </c>
      <c r="D924" s="1" t="s">
        <v>16</v>
      </c>
      <c r="E924" s="1" t="s">
        <v>24</v>
      </c>
      <c r="F924" s="1" t="s">
        <v>25</v>
      </c>
      <c r="G924" s="9">
        <v>51202.49</v>
      </c>
      <c r="H924" s="1">
        <v>1443960.51</v>
      </c>
      <c r="I924" s="1">
        <v>741</v>
      </c>
      <c r="J924" s="1">
        <v>189</v>
      </c>
      <c r="K924" s="1">
        <v>150503</v>
      </c>
      <c r="L924" s="1" t="s">
        <v>19</v>
      </c>
      <c r="M924" s="1" t="s">
        <v>33</v>
      </c>
      <c r="N924" s="1">
        <v>1.8</v>
      </c>
    </row>
    <row r="925" spans="1:14" x14ac:dyDescent="0.3">
      <c r="A925" s="1" t="s">
        <v>1877</v>
      </c>
      <c r="B925" s="1" t="s">
        <v>1878</v>
      </c>
      <c r="C925" s="1">
        <v>58</v>
      </c>
      <c r="D925" s="1" t="s">
        <v>23</v>
      </c>
      <c r="E925" s="1" t="s">
        <v>48</v>
      </c>
      <c r="F925" s="1" t="s">
        <v>25</v>
      </c>
      <c r="G925" s="9">
        <v>819650.05</v>
      </c>
      <c r="H925" s="1">
        <v>2280976.13</v>
      </c>
      <c r="I925" s="1">
        <v>839</v>
      </c>
      <c r="J925" s="1">
        <v>94</v>
      </c>
      <c r="K925" s="1">
        <v>197943</v>
      </c>
      <c r="L925" s="1" t="s">
        <v>30</v>
      </c>
      <c r="M925" s="1" t="s">
        <v>33</v>
      </c>
      <c r="N925" s="1">
        <v>2.1</v>
      </c>
    </row>
    <row r="926" spans="1:14" x14ac:dyDescent="0.3">
      <c r="A926" s="1" t="s">
        <v>1879</v>
      </c>
      <c r="B926" s="1" t="s">
        <v>1880</v>
      </c>
      <c r="C926" s="1">
        <v>37</v>
      </c>
      <c r="D926" s="1" t="s">
        <v>23</v>
      </c>
      <c r="E926" s="1" t="s">
        <v>45</v>
      </c>
      <c r="F926" s="1" t="s">
        <v>81</v>
      </c>
      <c r="G926" s="9">
        <v>66444.47</v>
      </c>
      <c r="H926" s="1">
        <v>1300194.33</v>
      </c>
      <c r="I926" s="1">
        <v>651</v>
      </c>
      <c r="J926" s="1">
        <v>432</v>
      </c>
      <c r="K926" s="1">
        <v>69957</v>
      </c>
      <c r="L926" s="1" t="s">
        <v>26</v>
      </c>
      <c r="M926" s="1" t="s">
        <v>20</v>
      </c>
      <c r="N926" s="1">
        <v>3.4</v>
      </c>
    </row>
    <row r="927" spans="1:14" x14ac:dyDescent="0.3">
      <c r="A927" s="1" t="s">
        <v>1881</v>
      </c>
      <c r="B927" s="1" t="s">
        <v>1882</v>
      </c>
      <c r="C927" s="1">
        <v>18</v>
      </c>
      <c r="D927" s="1" t="s">
        <v>16</v>
      </c>
      <c r="E927" s="1" t="s">
        <v>55</v>
      </c>
      <c r="F927" s="1" t="s">
        <v>25</v>
      </c>
      <c r="G927" s="9">
        <v>1391213.38</v>
      </c>
      <c r="H927" s="1">
        <v>367827.72</v>
      </c>
      <c r="I927" s="1">
        <v>453</v>
      </c>
      <c r="J927" s="1">
        <v>272</v>
      </c>
      <c r="K927" s="1">
        <v>150790</v>
      </c>
      <c r="L927" s="1" t="s">
        <v>26</v>
      </c>
      <c r="M927" s="1" t="s">
        <v>20</v>
      </c>
      <c r="N927" s="1">
        <v>4.9000000000000004</v>
      </c>
    </row>
    <row r="928" spans="1:14" x14ac:dyDescent="0.3">
      <c r="A928" s="1" t="s">
        <v>1883</v>
      </c>
      <c r="B928" s="1" t="s">
        <v>1884</v>
      </c>
      <c r="C928" s="1">
        <v>69</v>
      </c>
      <c r="D928" s="1" t="s">
        <v>16</v>
      </c>
      <c r="E928" s="1" t="s">
        <v>45</v>
      </c>
      <c r="F928" s="1" t="s">
        <v>81</v>
      </c>
      <c r="G928" s="9">
        <v>28310.639999999999</v>
      </c>
      <c r="H928" s="1">
        <v>102382.73</v>
      </c>
      <c r="I928" s="1">
        <v>589</v>
      </c>
      <c r="J928" s="1">
        <v>427</v>
      </c>
      <c r="K928" s="1">
        <v>97260</v>
      </c>
      <c r="L928" s="1" t="s">
        <v>19</v>
      </c>
      <c r="M928" s="1" t="s">
        <v>33</v>
      </c>
      <c r="N928" s="1">
        <v>3.4</v>
      </c>
    </row>
    <row r="929" spans="1:14" x14ac:dyDescent="0.3">
      <c r="A929" s="1" t="s">
        <v>1885</v>
      </c>
      <c r="B929" s="1" t="s">
        <v>1886</v>
      </c>
      <c r="C929" s="1">
        <v>40</v>
      </c>
      <c r="D929" s="1" t="s">
        <v>16</v>
      </c>
      <c r="E929" s="1" t="s">
        <v>29</v>
      </c>
      <c r="F929" s="1" t="s">
        <v>81</v>
      </c>
      <c r="G929" s="9">
        <v>1251994.53</v>
      </c>
      <c r="H929" s="1">
        <v>124755.12</v>
      </c>
      <c r="I929" s="1">
        <v>441</v>
      </c>
      <c r="J929" s="1">
        <v>184</v>
      </c>
      <c r="K929" s="1">
        <v>193081</v>
      </c>
      <c r="L929" s="1" t="s">
        <v>40</v>
      </c>
      <c r="M929" s="1" t="s">
        <v>20</v>
      </c>
      <c r="N929" s="1">
        <v>4.5</v>
      </c>
    </row>
    <row r="930" spans="1:14" x14ac:dyDescent="0.3">
      <c r="A930" s="1" t="s">
        <v>1887</v>
      </c>
      <c r="B930" s="1" t="s">
        <v>1888</v>
      </c>
      <c r="C930" s="1">
        <v>45</v>
      </c>
      <c r="D930" s="1" t="s">
        <v>16</v>
      </c>
      <c r="E930" s="1" t="s">
        <v>17</v>
      </c>
      <c r="F930" s="1" t="s">
        <v>25</v>
      </c>
      <c r="G930" s="9">
        <v>1377798.46</v>
      </c>
      <c r="H930" s="1">
        <v>727005.06</v>
      </c>
      <c r="I930" s="1">
        <v>332</v>
      </c>
      <c r="J930" s="1">
        <v>247</v>
      </c>
      <c r="K930" s="1">
        <v>173413</v>
      </c>
      <c r="L930" s="1" t="s">
        <v>30</v>
      </c>
      <c r="M930" s="1" t="s">
        <v>20</v>
      </c>
      <c r="N930" s="1">
        <v>4.7</v>
      </c>
    </row>
    <row r="931" spans="1:14" x14ac:dyDescent="0.3">
      <c r="A931" s="1" t="s">
        <v>1889</v>
      </c>
      <c r="B931" s="1" t="s">
        <v>1890</v>
      </c>
      <c r="C931" s="1">
        <v>34</v>
      </c>
      <c r="D931" s="1" t="s">
        <v>16</v>
      </c>
      <c r="E931" s="1" t="s">
        <v>24</v>
      </c>
      <c r="F931" s="1" t="s">
        <v>81</v>
      </c>
      <c r="G931" s="9">
        <v>897573</v>
      </c>
      <c r="H931" s="1">
        <v>433254.92</v>
      </c>
      <c r="I931" s="1">
        <v>746</v>
      </c>
      <c r="J931" s="1">
        <v>352</v>
      </c>
      <c r="K931" s="1">
        <v>99173</v>
      </c>
      <c r="L931" s="1" t="s">
        <v>40</v>
      </c>
      <c r="M931" s="1" t="s">
        <v>33</v>
      </c>
      <c r="N931" s="1">
        <v>4.5</v>
      </c>
    </row>
    <row r="932" spans="1:14" x14ac:dyDescent="0.3">
      <c r="A932" s="1" t="s">
        <v>1891</v>
      </c>
      <c r="B932" s="1" t="s">
        <v>1892</v>
      </c>
      <c r="C932" s="1">
        <v>53</v>
      </c>
      <c r="D932" s="1" t="s">
        <v>16</v>
      </c>
      <c r="E932" s="1" t="s">
        <v>17</v>
      </c>
      <c r="F932" s="1" t="s">
        <v>25</v>
      </c>
      <c r="G932" s="9">
        <v>455088.09</v>
      </c>
      <c r="H932" s="1">
        <v>213994.82</v>
      </c>
      <c r="I932" s="1">
        <v>880</v>
      </c>
      <c r="J932" s="1">
        <v>479</v>
      </c>
      <c r="K932" s="1">
        <v>72303</v>
      </c>
      <c r="L932" s="1" t="s">
        <v>19</v>
      </c>
      <c r="M932" s="1" t="s">
        <v>20</v>
      </c>
      <c r="N932" s="1">
        <v>3.5</v>
      </c>
    </row>
    <row r="933" spans="1:14" x14ac:dyDescent="0.3">
      <c r="A933" s="1" t="s">
        <v>1893</v>
      </c>
      <c r="B933" s="1" t="s">
        <v>1894</v>
      </c>
      <c r="C933" s="1">
        <v>51</v>
      </c>
      <c r="D933" s="1" t="s">
        <v>23</v>
      </c>
      <c r="E933" s="1" t="s">
        <v>17</v>
      </c>
      <c r="F933" s="1" t="s">
        <v>25</v>
      </c>
      <c r="G933" s="9">
        <v>1042729.42</v>
      </c>
      <c r="H933" s="1">
        <v>1259537.93</v>
      </c>
      <c r="I933" s="1">
        <v>666</v>
      </c>
      <c r="J933" s="1">
        <v>244</v>
      </c>
      <c r="K933" s="1">
        <v>135841</v>
      </c>
      <c r="L933" s="1" t="s">
        <v>30</v>
      </c>
      <c r="M933" s="1" t="s">
        <v>20</v>
      </c>
      <c r="N933" s="1">
        <v>2.4</v>
      </c>
    </row>
    <row r="934" spans="1:14" x14ac:dyDescent="0.3">
      <c r="A934" s="1" t="s">
        <v>1895</v>
      </c>
      <c r="B934" s="1" t="s">
        <v>1896</v>
      </c>
      <c r="C934" s="1">
        <v>53</v>
      </c>
      <c r="D934" s="1" t="s">
        <v>16</v>
      </c>
      <c r="E934" s="1" t="s">
        <v>48</v>
      </c>
      <c r="F934" s="1" t="s">
        <v>39</v>
      </c>
      <c r="G934" s="9">
        <v>1436450.17</v>
      </c>
      <c r="H934" s="1">
        <v>1052296.55</v>
      </c>
      <c r="I934" s="1">
        <v>443</v>
      </c>
      <c r="J934" s="1">
        <v>319</v>
      </c>
      <c r="K934" s="1">
        <v>26926</v>
      </c>
      <c r="L934" s="1" t="s">
        <v>26</v>
      </c>
      <c r="M934" s="1" t="s">
        <v>20</v>
      </c>
      <c r="N934" s="1">
        <v>4.5999999999999996</v>
      </c>
    </row>
    <row r="935" spans="1:14" x14ac:dyDescent="0.3">
      <c r="A935" s="1" t="s">
        <v>1897</v>
      </c>
      <c r="B935" s="1" t="s">
        <v>1898</v>
      </c>
      <c r="C935" s="1">
        <v>66</v>
      </c>
      <c r="D935" s="1" t="s">
        <v>23</v>
      </c>
      <c r="E935" s="1" t="s">
        <v>76</v>
      </c>
      <c r="F935" s="1" t="s">
        <v>18</v>
      </c>
      <c r="G935" s="9">
        <v>592025.68999999994</v>
      </c>
      <c r="H935" s="1">
        <v>1007355.32</v>
      </c>
      <c r="I935" s="1">
        <v>306</v>
      </c>
      <c r="J935" s="1">
        <v>241</v>
      </c>
      <c r="K935" s="1">
        <v>241539</v>
      </c>
      <c r="L935" s="1" t="s">
        <v>19</v>
      </c>
      <c r="M935" s="1" t="s">
        <v>33</v>
      </c>
      <c r="N935" s="1">
        <v>4.2</v>
      </c>
    </row>
    <row r="936" spans="1:14" x14ac:dyDescent="0.3">
      <c r="A936" s="1" t="s">
        <v>1899</v>
      </c>
      <c r="B936" s="1" t="s">
        <v>1900</v>
      </c>
      <c r="C936" s="1">
        <v>59</v>
      </c>
      <c r="D936" s="1" t="s">
        <v>23</v>
      </c>
      <c r="E936" s="1" t="s">
        <v>76</v>
      </c>
      <c r="F936" s="1" t="s">
        <v>18</v>
      </c>
      <c r="G936" s="9">
        <v>503557.76</v>
      </c>
      <c r="H936" s="1">
        <v>243497.66</v>
      </c>
      <c r="I936" s="1">
        <v>597</v>
      </c>
      <c r="J936" s="1">
        <v>294</v>
      </c>
      <c r="K936" s="1">
        <v>48062</v>
      </c>
      <c r="L936" s="1" t="s">
        <v>19</v>
      </c>
      <c r="M936" s="1" t="s">
        <v>20</v>
      </c>
      <c r="N936" s="1">
        <v>2.9</v>
      </c>
    </row>
    <row r="937" spans="1:14" x14ac:dyDescent="0.3">
      <c r="A937" s="1" t="s">
        <v>1901</v>
      </c>
      <c r="B937" s="1" t="s">
        <v>1902</v>
      </c>
      <c r="C937" s="1">
        <v>51</v>
      </c>
      <c r="D937" s="1" t="s">
        <v>16</v>
      </c>
      <c r="E937" s="1" t="s">
        <v>55</v>
      </c>
      <c r="F937" s="1" t="s">
        <v>81</v>
      </c>
      <c r="G937" s="9">
        <v>845263.63</v>
      </c>
      <c r="H937" s="1">
        <v>2418196.15</v>
      </c>
      <c r="I937" s="1">
        <v>439</v>
      </c>
      <c r="J937" s="1">
        <v>119</v>
      </c>
      <c r="K937" s="1">
        <v>57788</v>
      </c>
      <c r="L937" s="1" t="s">
        <v>19</v>
      </c>
      <c r="M937" s="1" t="s">
        <v>33</v>
      </c>
      <c r="N937" s="1">
        <v>4.5999999999999996</v>
      </c>
    </row>
    <row r="938" spans="1:14" x14ac:dyDescent="0.3">
      <c r="A938" s="1" t="s">
        <v>1903</v>
      </c>
      <c r="B938" s="1" t="s">
        <v>1904</v>
      </c>
      <c r="C938" s="1">
        <v>57</v>
      </c>
      <c r="D938" s="1" t="s">
        <v>16</v>
      </c>
      <c r="E938" s="1" t="s">
        <v>24</v>
      </c>
      <c r="F938" s="1" t="s">
        <v>39</v>
      </c>
      <c r="G938" s="9">
        <v>305046.31</v>
      </c>
      <c r="H938" s="1">
        <v>167855.15</v>
      </c>
      <c r="I938" s="1">
        <v>456</v>
      </c>
      <c r="J938" s="1">
        <v>314</v>
      </c>
      <c r="K938" s="1">
        <v>200296</v>
      </c>
      <c r="L938" s="1" t="s">
        <v>19</v>
      </c>
      <c r="M938" s="1" t="s">
        <v>33</v>
      </c>
      <c r="N938" s="1">
        <v>4.5</v>
      </c>
    </row>
    <row r="939" spans="1:14" x14ac:dyDescent="0.3">
      <c r="A939" s="1" t="s">
        <v>1905</v>
      </c>
      <c r="B939" s="1" t="s">
        <v>1906</v>
      </c>
      <c r="C939" s="1">
        <v>19</v>
      </c>
      <c r="D939" s="1" t="s">
        <v>16</v>
      </c>
      <c r="E939" s="1" t="s">
        <v>24</v>
      </c>
      <c r="F939" s="1" t="s">
        <v>81</v>
      </c>
      <c r="G939" s="9">
        <v>761177.73</v>
      </c>
      <c r="H939" s="1">
        <v>976784.73</v>
      </c>
      <c r="I939" s="1">
        <v>424</v>
      </c>
      <c r="J939" s="1">
        <v>158</v>
      </c>
      <c r="K939" s="1">
        <v>238294</v>
      </c>
      <c r="L939" s="1" t="s">
        <v>30</v>
      </c>
      <c r="M939" s="1" t="s">
        <v>20</v>
      </c>
      <c r="N939" s="1">
        <v>2.6</v>
      </c>
    </row>
    <row r="940" spans="1:14" x14ac:dyDescent="0.3">
      <c r="A940" s="1" t="s">
        <v>1907</v>
      </c>
      <c r="B940" s="1" t="s">
        <v>1908</v>
      </c>
      <c r="C940" s="1">
        <v>45</v>
      </c>
      <c r="D940" s="1" t="s">
        <v>16</v>
      </c>
      <c r="E940" s="1" t="s">
        <v>45</v>
      </c>
      <c r="F940" s="1" t="s">
        <v>25</v>
      </c>
      <c r="G940" s="9">
        <v>956114.76</v>
      </c>
      <c r="H940" s="1">
        <v>462019.63</v>
      </c>
      <c r="I940" s="1">
        <v>546</v>
      </c>
      <c r="J940" s="1">
        <v>92</v>
      </c>
      <c r="K940" s="1">
        <v>58337</v>
      </c>
      <c r="L940" s="1" t="s">
        <v>26</v>
      </c>
      <c r="M940" s="1" t="s">
        <v>33</v>
      </c>
      <c r="N940" s="1">
        <v>3</v>
      </c>
    </row>
    <row r="941" spans="1:14" x14ac:dyDescent="0.3">
      <c r="A941" s="1" t="s">
        <v>1909</v>
      </c>
      <c r="B941" s="1" t="s">
        <v>1910</v>
      </c>
      <c r="C941" s="1">
        <v>60</v>
      </c>
      <c r="D941" s="1" t="s">
        <v>16</v>
      </c>
      <c r="E941" s="1" t="s">
        <v>45</v>
      </c>
      <c r="F941" s="1" t="s">
        <v>25</v>
      </c>
      <c r="G941" s="9">
        <v>1438841.66</v>
      </c>
      <c r="H941" s="1">
        <v>1232410.3400000001</v>
      </c>
      <c r="I941" s="1">
        <v>581</v>
      </c>
      <c r="J941" s="1">
        <v>205</v>
      </c>
      <c r="K941" s="1">
        <v>46219</v>
      </c>
      <c r="L941" s="1" t="s">
        <v>30</v>
      </c>
      <c r="M941" s="1" t="s">
        <v>20</v>
      </c>
      <c r="N941" s="1">
        <v>2.5</v>
      </c>
    </row>
    <row r="942" spans="1:14" x14ac:dyDescent="0.3">
      <c r="A942" s="1" t="s">
        <v>1911</v>
      </c>
      <c r="B942" s="1" t="s">
        <v>1912</v>
      </c>
      <c r="C942" s="1">
        <v>19</v>
      </c>
      <c r="D942" s="1" t="s">
        <v>23</v>
      </c>
      <c r="E942" s="1" t="s">
        <v>76</v>
      </c>
      <c r="F942" s="1" t="s">
        <v>81</v>
      </c>
      <c r="G942" s="9">
        <v>688338.01</v>
      </c>
      <c r="H942" s="1">
        <v>1410522.71</v>
      </c>
      <c r="I942" s="1">
        <v>311</v>
      </c>
      <c r="J942" s="1">
        <v>302</v>
      </c>
      <c r="K942" s="1">
        <v>94297</v>
      </c>
      <c r="L942" s="1" t="s">
        <v>40</v>
      </c>
      <c r="M942" s="1" t="s">
        <v>33</v>
      </c>
      <c r="N942" s="1">
        <v>2.2000000000000002</v>
      </c>
    </row>
    <row r="943" spans="1:14" x14ac:dyDescent="0.3">
      <c r="A943" s="1" t="s">
        <v>1913</v>
      </c>
      <c r="B943" s="1" t="s">
        <v>1914</v>
      </c>
      <c r="C943" s="1">
        <v>64</v>
      </c>
      <c r="D943" s="1" t="s">
        <v>16</v>
      </c>
      <c r="E943" s="1" t="s">
        <v>48</v>
      </c>
      <c r="F943" s="1" t="s">
        <v>25</v>
      </c>
      <c r="G943" s="9">
        <v>418971.54</v>
      </c>
      <c r="H943" s="1">
        <v>2454384.21</v>
      </c>
      <c r="I943" s="1">
        <v>666</v>
      </c>
      <c r="J943" s="1">
        <v>261</v>
      </c>
      <c r="K943" s="1">
        <v>140153</v>
      </c>
      <c r="L943" s="1" t="s">
        <v>19</v>
      </c>
      <c r="M943" s="1" t="s">
        <v>20</v>
      </c>
      <c r="N943" s="1">
        <v>4.4000000000000004</v>
      </c>
    </row>
    <row r="944" spans="1:14" x14ac:dyDescent="0.3">
      <c r="A944" s="1" t="s">
        <v>1915</v>
      </c>
      <c r="B944" s="1" t="s">
        <v>1916</v>
      </c>
      <c r="C944" s="1">
        <v>59</v>
      </c>
      <c r="D944" s="1" t="s">
        <v>16</v>
      </c>
      <c r="E944" s="1" t="s">
        <v>55</v>
      </c>
      <c r="F944" s="1" t="s">
        <v>81</v>
      </c>
      <c r="G944" s="9">
        <v>531041.17000000004</v>
      </c>
      <c r="H944" s="1">
        <v>1798022.77</v>
      </c>
      <c r="I944" s="1">
        <v>647</v>
      </c>
      <c r="J944" s="1">
        <v>240</v>
      </c>
      <c r="K944" s="1">
        <v>59689</v>
      </c>
      <c r="L944" s="1" t="s">
        <v>30</v>
      </c>
      <c r="M944" s="1" t="s">
        <v>20</v>
      </c>
      <c r="N944" s="1">
        <v>3.9</v>
      </c>
    </row>
    <row r="945" spans="1:14" x14ac:dyDescent="0.3">
      <c r="A945" s="1" t="s">
        <v>1917</v>
      </c>
      <c r="B945" s="1" t="s">
        <v>1918</v>
      </c>
      <c r="C945" s="1">
        <v>59</v>
      </c>
      <c r="D945" s="1" t="s">
        <v>23</v>
      </c>
      <c r="E945" s="1" t="s">
        <v>38</v>
      </c>
      <c r="F945" s="1" t="s">
        <v>81</v>
      </c>
      <c r="G945" s="9">
        <v>567901.49</v>
      </c>
      <c r="H945" s="1">
        <v>1179380.78</v>
      </c>
      <c r="I945" s="1">
        <v>484</v>
      </c>
      <c r="J945" s="1">
        <v>299</v>
      </c>
      <c r="K945" s="1">
        <v>146810</v>
      </c>
      <c r="L945" s="1" t="s">
        <v>26</v>
      </c>
      <c r="M945" s="1" t="s">
        <v>33</v>
      </c>
      <c r="N945" s="1">
        <v>3.8</v>
      </c>
    </row>
    <row r="946" spans="1:14" x14ac:dyDescent="0.3">
      <c r="A946" s="1" t="s">
        <v>1919</v>
      </c>
      <c r="B946" s="1" t="s">
        <v>1920</v>
      </c>
      <c r="C946" s="1">
        <v>22</v>
      </c>
      <c r="D946" s="1" t="s">
        <v>23</v>
      </c>
      <c r="E946" s="1" t="s">
        <v>45</v>
      </c>
      <c r="F946" s="1" t="s">
        <v>81</v>
      </c>
      <c r="G946" s="9">
        <v>49135.16</v>
      </c>
      <c r="H946" s="1">
        <v>1832193.75</v>
      </c>
      <c r="I946" s="1">
        <v>537</v>
      </c>
      <c r="J946" s="1">
        <v>54</v>
      </c>
      <c r="K946" s="1">
        <v>31777</v>
      </c>
      <c r="L946" s="1" t="s">
        <v>40</v>
      </c>
      <c r="M946" s="1" t="s">
        <v>20</v>
      </c>
      <c r="N946" s="1">
        <v>3.7</v>
      </c>
    </row>
    <row r="947" spans="1:14" x14ac:dyDescent="0.3">
      <c r="A947" s="1" t="s">
        <v>1921</v>
      </c>
      <c r="B947" s="1" t="s">
        <v>1922</v>
      </c>
      <c r="C947" s="1">
        <v>24</v>
      </c>
      <c r="D947" s="1" t="s">
        <v>23</v>
      </c>
      <c r="E947" s="1" t="s">
        <v>29</v>
      </c>
      <c r="F947" s="1" t="s">
        <v>18</v>
      </c>
      <c r="G947" s="9">
        <v>1093603.92</v>
      </c>
      <c r="H947" s="1">
        <v>960208.66</v>
      </c>
      <c r="I947" s="1">
        <v>730</v>
      </c>
      <c r="J947" s="1">
        <v>477</v>
      </c>
      <c r="K947" s="1">
        <v>65612</v>
      </c>
      <c r="L947" s="1" t="s">
        <v>19</v>
      </c>
      <c r="M947" s="1" t="s">
        <v>33</v>
      </c>
      <c r="N947" s="1">
        <v>1.3</v>
      </c>
    </row>
    <row r="948" spans="1:14" x14ac:dyDescent="0.3">
      <c r="A948" s="1" t="s">
        <v>1923</v>
      </c>
      <c r="B948" s="1" t="s">
        <v>1924</v>
      </c>
      <c r="C948" s="1">
        <v>66</v>
      </c>
      <c r="D948" s="1" t="s">
        <v>23</v>
      </c>
      <c r="E948" s="1" t="s">
        <v>17</v>
      </c>
      <c r="F948" s="1" t="s">
        <v>39</v>
      </c>
      <c r="G948" s="9">
        <v>911767.29</v>
      </c>
      <c r="H948" s="1">
        <v>2101698.39</v>
      </c>
      <c r="I948" s="1">
        <v>478</v>
      </c>
      <c r="J948" s="1">
        <v>169</v>
      </c>
      <c r="K948" s="1">
        <v>118126</v>
      </c>
      <c r="L948" s="1" t="s">
        <v>40</v>
      </c>
      <c r="M948" s="1" t="s">
        <v>20</v>
      </c>
      <c r="N948" s="1">
        <v>1.4</v>
      </c>
    </row>
    <row r="949" spans="1:14" x14ac:dyDescent="0.3">
      <c r="A949" s="1" t="s">
        <v>1925</v>
      </c>
      <c r="B949" s="1" t="s">
        <v>1926</v>
      </c>
      <c r="C949" s="1">
        <v>34</v>
      </c>
      <c r="D949" s="1" t="s">
        <v>16</v>
      </c>
      <c r="E949" s="1" t="s">
        <v>29</v>
      </c>
      <c r="F949" s="1" t="s">
        <v>18</v>
      </c>
      <c r="G949" s="9">
        <v>659084.71</v>
      </c>
      <c r="H949" s="1">
        <v>715223.33</v>
      </c>
      <c r="I949" s="1">
        <v>506</v>
      </c>
      <c r="J949" s="1">
        <v>384</v>
      </c>
      <c r="K949" s="1">
        <v>148739</v>
      </c>
      <c r="L949" s="1" t="s">
        <v>19</v>
      </c>
      <c r="M949" s="1" t="s">
        <v>20</v>
      </c>
      <c r="N949" s="1">
        <v>1.6</v>
      </c>
    </row>
    <row r="950" spans="1:14" x14ac:dyDescent="0.3">
      <c r="A950" s="1" t="s">
        <v>1927</v>
      </c>
      <c r="B950" s="1" t="s">
        <v>1928</v>
      </c>
      <c r="C950" s="1">
        <v>20</v>
      </c>
      <c r="D950" s="1" t="s">
        <v>16</v>
      </c>
      <c r="E950" s="1" t="s">
        <v>48</v>
      </c>
      <c r="F950" s="1" t="s">
        <v>39</v>
      </c>
      <c r="G950" s="9">
        <v>215141.08</v>
      </c>
      <c r="H950" s="1">
        <v>13090.71</v>
      </c>
      <c r="I950" s="1">
        <v>717</v>
      </c>
      <c r="J950" s="1">
        <v>295</v>
      </c>
      <c r="K950" s="1">
        <v>232338</v>
      </c>
      <c r="L950" s="1" t="s">
        <v>30</v>
      </c>
      <c r="M950" s="1" t="s">
        <v>20</v>
      </c>
      <c r="N950" s="1">
        <v>3.2</v>
      </c>
    </row>
    <row r="951" spans="1:14" x14ac:dyDescent="0.3">
      <c r="A951" s="1" t="s">
        <v>1929</v>
      </c>
      <c r="B951" s="1" t="s">
        <v>1930</v>
      </c>
      <c r="C951" s="1">
        <v>31</v>
      </c>
      <c r="D951" s="1" t="s">
        <v>16</v>
      </c>
      <c r="E951" s="1" t="s">
        <v>29</v>
      </c>
      <c r="F951" s="1" t="s">
        <v>25</v>
      </c>
      <c r="G951" s="9">
        <v>1242225.73</v>
      </c>
      <c r="H951" s="1">
        <v>1252125.71</v>
      </c>
      <c r="I951" s="1">
        <v>665</v>
      </c>
      <c r="J951" s="1">
        <v>321</v>
      </c>
      <c r="K951" s="1">
        <v>169519</v>
      </c>
      <c r="L951" s="1" t="s">
        <v>30</v>
      </c>
      <c r="M951" s="1" t="s">
        <v>33</v>
      </c>
      <c r="N951" s="1">
        <v>4.5999999999999996</v>
      </c>
    </row>
    <row r="952" spans="1:14" x14ac:dyDescent="0.3">
      <c r="A952" s="1" t="s">
        <v>1931</v>
      </c>
      <c r="B952" s="1" t="s">
        <v>1932</v>
      </c>
      <c r="C952" s="1">
        <v>22</v>
      </c>
      <c r="D952" s="1" t="s">
        <v>16</v>
      </c>
      <c r="E952" s="1" t="s">
        <v>76</v>
      </c>
      <c r="F952" s="1" t="s">
        <v>81</v>
      </c>
      <c r="G952" s="9">
        <v>121824.99</v>
      </c>
      <c r="H952" s="1">
        <v>1955968.39</v>
      </c>
      <c r="I952" s="1">
        <v>605</v>
      </c>
      <c r="J952" s="1">
        <v>56</v>
      </c>
      <c r="K952" s="1">
        <v>169199</v>
      </c>
      <c r="L952" s="1" t="s">
        <v>19</v>
      </c>
      <c r="M952" s="1" t="s">
        <v>20</v>
      </c>
      <c r="N952" s="1">
        <v>1.5</v>
      </c>
    </row>
    <row r="953" spans="1:14" x14ac:dyDescent="0.3">
      <c r="A953" s="1" t="s">
        <v>1933</v>
      </c>
      <c r="B953" s="1" t="s">
        <v>1934</v>
      </c>
      <c r="C953" s="1">
        <v>70</v>
      </c>
      <c r="D953" s="1" t="s">
        <v>16</v>
      </c>
      <c r="E953" s="1" t="s">
        <v>55</v>
      </c>
      <c r="F953" s="1" t="s">
        <v>18</v>
      </c>
      <c r="G953" s="9">
        <v>1383798.63</v>
      </c>
      <c r="H953" s="1">
        <v>628454.62</v>
      </c>
      <c r="I953" s="1">
        <v>666</v>
      </c>
      <c r="J953" s="1">
        <v>39</v>
      </c>
      <c r="K953" s="1">
        <v>95994</v>
      </c>
      <c r="L953" s="1" t="s">
        <v>40</v>
      </c>
      <c r="M953" s="1" t="s">
        <v>33</v>
      </c>
      <c r="N953" s="1">
        <v>4.5</v>
      </c>
    </row>
    <row r="954" spans="1:14" x14ac:dyDescent="0.3">
      <c r="A954" s="1" t="s">
        <v>1935</v>
      </c>
      <c r="B954" s="1" t="s">
        <v>1936</v>
      </c>
      <c r="C954" s="1">
        <v>43</v>
      </c>
      <c r="D954" s="1" t="s">
        <v>23</v>
      </c>
      <c r="E954" s="1" t="s">
        <v>76</v>
      </c>
      <c r="F954" s="1" t="s">
        <v>18</v>
      </c>
      <c r="G954" s="9">
        <v>89689.06</v>
      </c>
      <c r="H954" s="1">
        <v>1743794.77</v>
      </c>
      <c r="I954" s="1">
        <v>413</v>
      </c>
      <c r="J954" s="1">
        <v>303</v>
      </c>
      <c r="K954" s="1">
        <v>182174</v>
      </c>
      <c r="L954" s="1" t="s">
        <v>26</v>
      </c>
      <c r="M954" s="1" t="s">
        <v>33</v>
      </c>
      <c r="N954" s="1">
        <v>2.9</v>
      </c>
    </row>
    <row r="955" spans="1:14" x14ac:dyDescent="0.3">
      <c r="A955" s="1" t="s">
        <v>1937</v>
      </c>
      <c r="B955" s="1" t="s">
        <v>1938</v>
      </c>
      <c r="C955" s="1">
        <v>34</v>
      </c>
      <c r="D955" s="1" t="s">
        <v>23</v>
      </c>
      <c r="E955" s="1" t="s">
        <v>76</v>
      </c>
      <c r="F955" s="1" t="s">
        <v>39</v>
      </c>
      <c r="G955" s="9">
        <v>505139.16</v>
      </c>
      <c r="H955" s="1">
        <v>1911839.79</v>
      </c>
      <c r="I955" s="1">
        <v>442</v>
      </c>
      <c r="J955" s="1">
        <v>109</v>
      </c>
      <c r="K955" s="1">
        <v>72562</v>
      </c>
      <c r="L955" s="1" t="s">
        <v>30</v>
      </c>
      <c r="M955" s="1" t="s">
        <v>20</v>
      </c>
      <c r="N955" s="1">
        <v>3.2</v>
      </c>
    </row>
    <row r="956" spans="1:14" x14ac:dyDescent="0.3">
      <c r="A956" s="1" t="s">
        <v>1939</v>
      </c>
      <c r="B956" s="1" t="s">
        <v>1940</v>
      </c>
      <c r="C956" s="1">
        <v>69</v>
      </c>
      <c r="D956" s="1" t="s">
        <v>23</v>
      </c>
      <c r="E956" s="1" t="s">
        <v>29</v>
      </c>
      <c r="F956" s="1" t="s">
        <v>25</v>
      </c>
      <c r="G956" s="9">
        <v>1356964.18</v>
      </c>
      <c r="H956" s="1">
        <v>1757727.08</v>
      </c>
      <c r="I956" s="1">
        <v>336</v>
      </c>
      <c r="J956" s="1">
        <v>182</v>
      </c>
      <c r="K956" s="1">
        <v>167811</v>
      </c>
      <c r="L956" s="1" t="s">
        <v>40</v>
      </c>
      <c r="M956" s="1" t="s">
        <v>33</v>
      </c>
      <c r="N956" s="1">
        <v>4.9000000000000004</v>
      </c>
    </row>
    <row r="957" spans="1:14" x14ac:dyDescent="0.3">
      <c r="A957" s="1" t="s">
        <v>1941</v>
      </c>
      <c r="B957" s="1" t="s">
        <v>1942</v>
      </c>
      <c r="C957" s="1">
        <v>64</v>
      </c>
      <c r="D957" s="1" t="s">
        <v>23</v>
      </c>
      <c r="E957" s="1" t="s">
        <v>55</v>
      </c>
      <c r="F957" s="1" t="s">
        <v>39</v>
      </c>
      <c r="G957" s="9">
        <v>160571.51999999999</v>
      </c>
      <c r="H957" s="1">
        <v>1241491.8</v>
      </c>
      <c r="I957" s="1">
        <v>530</v>
      </c>
      <c r="J957" s="1">
        <v>337</v>
      </c>
      <c r="K957" s="1">
        <v>30942</v>
      </c>
      <c r="L957" s="1" t="s">
        <v>19</v>
      </c>
      <c r="M957" s="1" t="s">
        <v>20</v>
      </c>
      <c r="N957" s="1">
        <v>2.4</v>
      </c>
    </row>
    <row r="958" spans="1:14" x14ac:dyDescent="0.3">
      <c r="A958" s="1" t="s">
        <v>1943</v>
      </c>
      <c r="B958" s="1" t="s">
        <v>1944</v>
      </c>
      <c r="C958" s="1">
        <v>19</v>
      </c>
      <c r="D958" s="1" t="s">
        <v>16</v>
      </c>
      <c r="E958" s="1" t="s">
        <v>45</v>
      </c>
      <c r="F958" s="1" t="s">
        <v>18</v>
      </c>
      <c r="G958" s="9">
        <v>1173824.73</v>
      </c>
      <c r="H958" s="1">
        <v>490435.71</v>
      </c>
      <c r="I958" s="1">
        <v>688</v>
      </c>
      <c r="J958" s="1">
        <v>354</v>
      </c>
      <c r="K958" s="1">
        <v>222798</v>
      </c>
      <c r="L958" s="1" t="s">
        <v>30</v>
      </c>
      <c r="M958" s="1" t="s">
        <v>33</v>
      </c>
      <c r="N958" s="1">
        <v>3.7</v>
      </c>
    </row>
    <row r="959" spans="1:14" x14ac:dyDescent="0.3">
      <c r="A959" s="1" t="s">
        <v>1945</v>
      </c>
      <c r="B959" s="1" t="s">
        <v>1946</v>
      </c>
      <c r="C959" s="1">
        <v>62</v>
      </c>
      <c r="D959" s="1" t="s">
        <v>23</v>
      </c>
      <c r="E959" s="1" t="s">
        <v>48</v>
      </c>
      <c r="F959" s="1" t="s">
        <v>39</v>
      </c>
      <c r="G959" s="9">
        <v>647429.38</v>
      </c>
      <c r="H959" s="1">
        <v>1067083.95</v>
      </c>
      <c r="I959" s="1">
        <v>441</v>
      </c>
      <c r="J959" s="1">
        <v>64</v>
      </c>
      <c r="K959" s="1">
        <v>52830</v>
      </c>
      <c r="L959" s="1" t="s">
        <v>26</v>
      </c>
      <c r="M959" s="1" t="s">
        <v>33</v>
      </c>
      <c r="N959" s="1">
        <v>2.8</v>
      </c>
    </row>
    <row r="960" spans="1:14" x14ac:dyDescent="0.3">
      <c r="A960" s="1" t="s">
        <v>1947</v>
      </c>
      <c r="B960" s="1" t="s">
        <v>1948</v>
      </c>
      <c r="C960" s="1">
        <v>21</v>
      </c>
      <c r="D960" s="1" t="s">
        <v>16</v>
      </c>
      <c r="E960" s="1" t="s">
        <v>76</v>
      </c>
      <c r="F960" s="1" t="s">
        <v>39</v>
      </c>
      <c r="G960" s="9">
        <v>351889.97</v>
      </c>
      <c r="H960" s="1">
        <v>1471543.68</v>
      </c>
      <c r="I960" s="1">
        <v>532</v>
      </c>
      <c r="J960" s="1">
        <v>216</v>
      </c>
      <c r="K960" s="1">
        <v>82434</v>
      </c>
      <c r="L960" s="1" t="s">
        <v>19</v>
      </c>
      <c r="M960" s="1" t="s">
        <v>20</v>
      </c>
      <c r="N960" s="1">
        <v>4</v>
      </c>
    </row>
    <row r="961" spans="1:14" x14ac:dyDescent="0.3">
      <c r="A961" s="1" t="s">
        <v>1949</v>
      </c>
      <c r="B961" s="1" t="s">
        <v>1950</v>
      </c>
      <c r="C961" s="1">
        <v>21</v>
      </c>
      <c r="D961" s="1" t="s">
        <v>16</v>
      </c>
      <c r="E961" s="1" t="s">
        <v>55</v>
      </c>
      <c r="F961" s="1" t="s">
        <v>39</v>
      </c>
      <c r="G961" s="9">
        <v>660641.04</v>
      </c>
      <c r="H961" s="1">
        <v>706489.94</v>
      </c>
      <c r="I961" s="1">
        <v>621</v>
      </c>
      <c r="J961" s="1">
        <v>184</v>
      </c>
      <c r="K961" s="1">
        <v>53217</v>
      </c>
      <c r="L961" s="1" t="s">
        <v>30</v>
      </c>
      <c r="M961" s="1" t="s">
        <v>33</v>
      </c>
      <c r="N961" s="1">
        <v>3.4</v>
      </c>
    </row>
    <row r="962" spans="1:14" x14ac:dyDescent="0.3">
      <c r="A962" s="1" t="s">
        <v>1951</v>
      </c>
      <c r="B962" s="1" t="s">
        <v>1952</v>
      </c>
      <c r="C962" s="1">
        <v>60</v>
      </c>
      <c r="D962" s="1" t="s">
        <v>23</v>
      </c>
      <c r="E962" s="1" t="s">
        <v>24</v>
      </c>
      <c r="F962" s="1" t="s">
        <v>25</v>
      </c>
      <c r="G962" s="9">
        <v>986602.47</v>
      </c>
      <c r="H962" s="1">
        <v>190944.68</v>
      </c>
      <c r="I962" s="1">
        <v>856</v>
      </c>
      <c r="J962" s="1">
        <v>110</v>
      </c>
      <c r="K962" s="1">
        <v>52080</v>
      </c>
      <c r="L962" s="1" t="s">
        <v>26</v>
      </c>
      <c r="M962" s="1" t="s">
        <v>33</v>
      </c>
      <c r="N962" s="1">
        <v>3</v>
      </c>
    </row>
    <row r="963" spans="1:14" x14ac:dyDescent="0.3">
      <c r="A963" s="1" t="s">
        <v>1953</v>
      </c>
      <c r="B963" s="1" t="s">
        <v>1954</v>
      </c>
      <c r="C963" s="1">
        <v>67</v>
      </c>
      <c r="D963" s="1" t="s">
        <v>16</v>
      </c>
      <c r="E963" s="1" t="s">
        <v>76</v>
      </c>
      <c r="F963" s="1" t="s">
        <v>81</v>
      </c>
      <c r="G963" s="9">
        <v>442561.7</v>
      </c>
      <c r="H963" s="1">
        <v>1634109.68</v>
      </c>
      <c r="I963" s="1">
        <v>839</v>
      </c>
      <c r="J963" s="1">
        <v>462</v>
      </c>
      <c r="K963" s="1">
        <v>164547</v>
      </c>
      <c r="L963" s="1" t="s">
        <v>30</v>
      </c>
      <c r="M963" s="1" t="s">
        <v>33</v>
      </c>
      <c r="N963" s="1">
        <v>2.1</v>
      </c>
    </row>
    <row r="964" spans="1:14" x14ac:dyDescent="0.3">
      <c r="A964" s="1" t="s">
        <v>1955</v>
      </c>
      <c r="B964" s="1" t="s">
        <v>1956</v>
      </c>
      <c r="C964" s="1">
        <v>35</v>
      </c>
      <c r="D964" s="1" t="s">
        <v>16</v>
      </c>
      <c r="E964" s="1" t="s">
        <v>29</v>
      </c>
      <c r="F964" s="1" t="s">
        <v>81</v>
      </c>
      <c r="G964" s="9">
        <v>309314.63</v>
      </c>
      <c r="H964" s="1">
        <v>342828.72</v>
      </c>
      <c r="I964" s="1">
        <v>833</v>
      </c>
      <c r="J964" s="1">
        <v>123</v>
      </c>
      <c r="K964" s="1">
        <v>40564</v>
      </c>
      <c r="L964" s="1" t="s">
        <v>40</v>
      </c>
      <c r="M964" s="1" t="s">
        <v>20</v>
      </c>
      <c r="N964" s="1">
        <v>2.2000000000000002</v>
      </c>
    </row>
    <row r="965" spans="1:14" x14ac:dyDescent="0.3">
      <c r="A965" s="1" t="s">
        <v>1957</v>
      </c>
      <c r="B965" s="1" t="s">
        <v>1958</v>
      </c>
      <c r="C965" s="1">
        <v>33</v>
      </c>
      <c r="D965" s="1" t="s">
        <v>16</v>
      </c>
      <c r="E965" s="1" t="s">
        <v>55</v>
      </c>
      <c r="F965" s="1" t="s">
        <v>81</v>
      </c>
      <c r="G965" s="9">
        <v>663214.73</v>
      </c>
      <c r="H965" s="1">
        <v>1910479.95</v>
      </c>
      <c r="I965" s="1">
        <v>416</v>
      </c>
      <c r="J965" s="1">
        <v>15</v>
      </c>
      <c r="K965" s="1">
        <v>203066</v>
      </c>
      <c r="L965" s="1" t="s">
        <v>30</v>
      </c>
      <c r="M965" s="1" t="s">
        <v>33</v>
      </c>
      <c r="N965" s="1">
        <v>3</v>
      </c>
    </row>
    <row r="966" spans="1:14" x14ac:dyDescent="0.3">
      <c r="A966" s="1" t="s">
        <v>1959</v>
      </c>
      <c r="B966" s="1" t="s">
        <v>1960</v>
      </c>
      <c r="C966" s="1">
        <v>70</v>
      </c>
      <c r="D966" s="1" t="s">
        <v>23</v>
      </c>
      <c r="E966" s="1" t="s">
        <v>17</v>
      </c>
      <c r="F966" s="1" t="s">
        <v>25</v>
      </c>
      <c r="G966" s="9">
        <v>94281.46</v>
      </c>
      <c r="H966" s="1">
        <v>2136435.59</v>
      </c>
      <c r="I966" s="1">
        <v>693</v>
      </c>
      <c r="J966" s="1">
        <v>258</v>
      </c>
      <c r="K966" s="1">
        <v>42149</v>
      </c>
      <c r="L966" s="1" t="s">
        <v>19</v>
      </c>
      <c r="M966" s="1" t="s">
        <v>20</v>
      </c>
      <c r="N966" s="1">
        <v>1.1000000000000001</v>
      </c>
    </row>
    <row r="967" spans="1:14" x14ac:dyDescent="0.3">
      <c r="A967" s="1" t="s">
        <v>1961</v>
      </c>
      <c r="B967" s="1" t="s">
        <v>1962</v>
      </c>
      <c r="C967" s="1">
        <v>31</v>
      </c>
      <c r="D967" s="1" t="s">
        <v>23</v>
      </c>
      <c r="E967" s="1" t="s">
        <v>76</v>
      </c>
      <c r="F967" s="1" t="s">
        <v>81</v>
      </c>
      <c r="G967" s="9">
        <v>280718.06</v>
      </c>
      <c r="H967" s="1">
        <v>1077712.4099999999</v>
      </c>
      <c r="I967" s="1">
        <v>353</v>
      </c>
      <c r="J967" s="1">
        <v>343</v>
      </c>
      <c r="K967" s="1">
        <v>119438</v>
      </c>
      <c r="L967" s="1" t="s">
        <v>26</v>
      </c>
      <c r="M967" s="1" t="s">
        <v>20</v>
      </c>
      <c r="N967" s="1">
        <v>2.2000000000000002</v>
      </c>
    </row>
    <row r="968" spans="1:14" x14ac:dyDescent="0.3">
      <c r="A968" s="1" t="s">
        <v>1963</v>
      </c>
      <c r="B968" s="1" t="s">
        <v>1964</v>
      </c>
      <c r="C968" s="1">
        <v>66</v>
      </c>
      <c r="D968" s="1" t="s">
        <v>16</v>
      </c>
      <c r="E968" s="1" t="s">
        <v>29</v>
      </c>
      <c r="F968" s="1" t="s">
        <v>25</v>
      </c>
      <c r="G968" s="9">
        <v>514711.86</v>
      </c>
      <c r="H968" s="1">
        <v>2073098.64</v>
      </c>
      <c r="I968" s="1">
        <v>744</v>
      </c>
      <c r="J968" s="1">
        <v>448</v>
      </c>
      <c r="K968" s="1">
        <v>27168</v>
      </c>
      <c r="L968" s="1" t="s">
        <v>26</v>
      </c>
      <c r="M968" s="1" t="s">
        <v>33</v>
      </c>
      <c r="N968" s="1">
        <v>2.7</v>
      </c>
    </row>
    <row r="969" spans="1:14" x14ac:dyDescent="0.3">
      <c r="A969" s="1" t="s">
        <v>1965</v>
      </c>
      <c r="B969" s="1" t="s">
        <v>1966</v>
      </c>
      <c r="C969" s="1">
        <v>45</v>
      </c>
      <c r="D969" s="1" t="s">
        <v>23</v>
      </c>
      <c r="E969" s="1" t="s">
        <v>24</v>
      </c>
      <c r="F969" s="1" t="s">
        <v>39</v>
      </c>
      <c r="G969" s="9">
        <v>1080234.19</v>
      </c>
      <c r="H969" s="1">
        <v>1922530.88</v>
      </c>
      <c r="I969" s="1">
        <v>566</v>
      </c>
      <c r="J969" s="1">
        <v>88</v>
      </c>
      <c r="K969" s="1">
        <v>170104</v>
      </c>
      <c r="L969" s="1" t="s">
        <v>19</v>
      </c>
      <c r="M969" s="1" t="s">
        <v>33</v>
      </c>
      <c r="N969" s="1">
        <v>4.8</v>
      </c>
    </row>
    <row r="970" spans="1:14" x14ac:dyDescent="0.3">
      <c r="A970" s="1" t="s">
        <v>1967</v>
      </c>
      <c r="B970" s="1" t="s">
        <v>1968</v>
      </c>
      <c r="C970" s="1">
        <v>69</v>
      </c>
      <c r="D970" s="1" t="s">
        <v>23</v>
      </c>
      <c r="E970" s="1" t="s">
        <v>17</v>
      </c>
      <c r="F970" s="1" t="s">
        <v>18</v>
      </c>
      <c r="G970" s="9">
        <v>1426696.01</v>
      </c>
      <c r="H970" s="1">
        <v>213842.17</v>
      </c>
      <c r="I970" s="1">
        <v>555</v>
      </c>
      <c r="J970" s="1">
        <v>399</v>
      </c>
      <c r="K970" s="1">
        <v>198939</v>
      </c>
      <c r="L970" s="1" t="s">
        <v>26</v>
      </c>
      <c r="M970" s="1" t="s">
        <v>33</v>
      </c>
      <c r="N970" s="1">
        <v>3.2</v>
      </c>
    </row>
    <row r="971" spans="1:14" x14ac:dyDescent="0.3">
      <c r="A971" s="1" t="s">
        <v>1969</v>
      </c>
      <c r="B971" s="1" t="s">
        <v>1970</v>
      </c>
      <c r="C971" s="1">
        <v>35</v>
      </c>
      <c r="D971" s="1" t="s">
        <v>23</v>
      </c>
      <c r="E971" s="1" t="s">
        <v>55</v>
      </c>
      <c r="F971" s="1" t="s">
        <v>39</v>
      </c>
      <c r="G971" s="9">
        <v>379517.35</v>
      </c>
      <c r="H971" s="1">
        <v>1632577.77</v>
      </c>
      <c r="I971" s="1">
        <v>312</v>
      </c>
      <c r="J971" s="1">
        <v>68</v>
      </c>
      <c r="K971" s="1">
        <v>192813</v>
      </c>
      <c r="L971" s="1" t="s">
        <v>30</v>
      </c>
      <c r="M971" s="1" t="s">
        <v>33</v>
      </c>
      <c r="N971" s="1">
        <v>2.2000000000000002</v>
      </c>
    </row>
    <row r="972" spans="1:14" x14ac:dyDescent="0.3">
      <c r="A972" s="1" t="s">
        <v>1971</v>
      </c>
      <c r="B972" s="1" t="s">
        <v>1972</v>
      </c>
      <c r="C972" s="1">
        <v>19</v>
      </c>
      <c r="D972" s="1" t="s">
        <v>16</v>
      </c>
      <c r="E972" s="1" t="s">
        <v>17</v>
      </c>
      <c r="F972" s="1" t="s">
        <v>18</v>
      </c>
      <c r="G972" s="9">
        <v>18261.7</v>
      </c>
      <c r="H972" s="1">
        <v>92509.41</v>
      </c>
      <c r="I972" s="1">
        <v>667</v>
      </c>
      <c r="J972" s="1">
        <v>250</v>
      </c>
      <c r="K972" s="1">
        <v>135319</v>
      </c>
      <c r="L972" s="1" t="s">
        <v>19</v>
      </c>
      <c r="M972" s="1" t="s">
        <v>33</v>
      </c>
      <c r="N972" s="1">
        <v>3.6</v>
      </c>
    </row>
    <row r="973" spans="1:14" x14ac:dyDescent="0.3">
      <c r="A973" s="1" t="s">
        <v>1973</v>
      </c>
      <c r="B973" s="1" t="s">
        <v>1974</v>
      </c>
      <c r="C973" s="1">
        <v>57</v>
      </c>
      <c r="D973" s="1" t="s">
        <v>23</v>
      </c>
      <c r="E973" s="1" t="s">
        <v>55</v>
      </c>
      <c r="F973" s="1" t="s">
        <v>25</v>
      </c>
      <c r="G973" s="9">
        <v>474469.67</v>
      </c>
      <c r="H973" s="1">
        <v>160108.72</v>
      </c>
      <c r="I973" s="1">
        <v>484</v>
      </c>
      <c r="J973" s="1">
        <v>137</v>
      </c>
      <c r="K973" s="1">
        <v>164558</v>
      </c>
      <c r="L973" s="1" t="s">
        <v>40</v>
      </c>
      <c r="M973" s="1" t="s">
        <v>20</v>
      </c>
      <c r="N973" s="1">
        <v>4.0999999999999996</v>
      </c>
    </row>
    <row r="974" spans="1:14" x14ac:dyDescent="0.3">
      <c r="A974" s="1" t="s">
        <v>1975</v>
      </c>
      <c r="B974" s="1" t="s">
        <v>1976</v>
      </c>
      <c r="C974" s="1">
        <v>58</v>
      </c>
      <c r="D974" s="1" t="s">
        <v>16</v>
      </c>
      <c r="E974" s="1" t="s">
        <v>38</v>
      </c>
      <c r="F974" s="1" t="s">
        <v>25</v>
      </c>
      <c r="G974" s="9">
        <v>224618.17</v>
      </c>
      <c r="H974" s="1">
        <v>1544873.26</v>
      </c>
      <c r="I974" s="1">
        <v>350</v>
      </c>
      <c r="J974" s="1">
        <v>124</v>
      </c>
      <c r="K974" s="1">
        <v>65742</v>
      </c>
      <c r="L974" s="1" t="s">
        <v>26</v>
      </c>
      <c r="M974" s="1" t="s">
        <v>20</v>
      </c>
      <c r="N974" s="1">
        <v>1.5</v>
      </c>
    </row>
    <row r="975" spans="1:14" x14ac:dyDescent="0.3">
      <c r="A975" s="1" t="s">
        <v>1977</v>
      </c>
      <c r="B975" s="1" t="s">
        <v>1978</v>
      </c>
      <c r="C975" s="1">
        <v>53</v>
      </c>
      <c r="D975" s="1" t="s">
        <v>23</v>
      </c>
      <c r="E975" s="1" t="s">
        <v>76</v>
      </c>
      <c r="F975" s="1" t="s">
        <v>39</v>
      </c>
      <c r="G975" s="9">
        <v>345788.87</v>
      </c>
      <c r="H975" s="1">
        <v>2379259.48</v>
      </c>
      <c r="I975" s="1">
        <v>565</v>
      </c>
      <c r="J975" s="1">
        <v>136</v>
      </c>
      <c r="K975" s="1">
        <v>208051</v>
      </c>
      <c r="L975" s="1" t="s">
        <v>26</v>
      </c>
      <c r="M975" s="1" t="s">
        <v>20</v>
      </c>
      <c r="N975" s="1">
        <v>1.1000000000000001</v>
      </c>
    </row>
    <row r="976" spans="1:14" x14ac:dyDescent="0.3">
      <c r="A976" s="1" t="s">
        <v>1979</v>
      </c>
      <c r="B976" s="1" t="s">
        <v>1980</v>
      </c>
      <c r="C976" s="1">
        <v>22</v>
      </c>
      <c r="D976" s="1" t="s">
        <v>23</v>
      </c>
      <c r="E976" s="1" t="s">
        <v>17</v>
      </c>
      <c r="F976" s="1" t="s">
        <v>18</v>
      </c>
      <c r="G976" s="9">
        <v>668499.96</v>
      </c>
      <c r="H976" s="1">
        <v>1277588.79</v>
      </c>
      <c r="I976" s="1">
        <v>542</v>
      </c>
      <c r="J976" s="1">
        <v>109</v>
      </c>
      <c r="K976" s="1">
        <v>152890</v>
      </c>
      <c r="L976" s="1" t="s">
        <v>30</v>
      </c>
      <c r="M976" s="1" t="s">
        <v>33</v>
      </c>
      <c r="N976" s="1">
        <v>2.2999999999999998</v>
      </c>
    </row>
    <row r="977" spans="1:14" x14ac:dyDescent="0.3">
      <c r="A977" s="1" t="s">
        <v>1981</v>
      </c>
      <c r="B977" s="1" t="s">
        <v>1982</v>
      </c>
      <c r="C977" s="1">
        <v>27</v>
      </c>
      <c r="D977" s="1" t="s">
        <v>23</v>
      </c>
      <c r="E977" s="1" t="s">
        <v>45</v>
      </c>
      <c r="F977" s="1" t="s">
        <v>81</v>
      </c>
      <c r="G977" s="9">
        <v>493178.11</v>
      </c>
      <c r="H977" s="1">
        <v>1970411.15</v>
      </c>
      <c r="I977" s="1">
        <v>643</v>
      </c>
      <c r="J977" s="1">
        <v>213</v>
      </c>
      <c r="K977" s="1">
        <v>26473</v>
      </c>
      <c r="L977" s="1" t="s">
        <v>19</v>
      </c>
      <c r="M977" s="1" t="s">
        <v>20</v>
      </c>
      <c r="N977" s="1">
        <v>4.5999999999999996</v>
      </c>
    </row>
    <row r="978" spans="1:14" x14ac:dyDescent="0.3">
      <c r="A978" s="1" t="s">
        <v>1983</v>
      </c>
      <c r="B978" s="1" t="s">
        <v>1984</v>
      </c>
      <c r="C978" s="1">
        <v>41</v>
      </c>
      <c r="D978" s="1" t="s">
        <v>23</v>
      </c>
      <c r="E978" s="1" t="s">
        <v>48</v>
      </c>
      <c r="F978" s="1" t="s">
        <v>39</v>
      </c>
      <c r="G978" s="9">
        <v>439854.59</v>
      </c>
      <c r="H978" s="1">
        <v>375158.13</v>
      </c>
      <c r="I978" s="1">
        <v>326</v>
      </c>
      <c r="J978" s="1">
        <v>59</v>
      </c>
      <c r="K978" s="1">
        <v>31694</v>
      </c>
      <c r="L978" s="1" t="s">
        <v>30</v>
      </c>
      <c r="M978" s="1" t="s">
        <v>20</v>
      </c>
      <c r="N978" s="1">
        <v>3.4</v>
      </c>
    </row>
    <row r="979" spans="1:14" x14ac:dyDescent="0.3">
      <c r="A979" s="1" t="s">
        <v>1985</v>
      </c>
      <c r="B979" s="1" t="s">
        <v>1986</v>
      </c>
      <c r="C979" s="1">
        <v>60</v>
      </c>
      <c r="D979" s="1" t="s">
        <v>16</v>
      </c>
      <c r="E979" s="1" t="s">
        <v>17</v>
      </c>
      <c r="F979" s="1" t="s">
        <v>18</v>
      </c>
      <c r="G979" s="9">
        <v>229361.66</v>
      </c>
      <c r="H979" s="1">
        <v>1906529.59</v>
      </c>
      <c r="I979" s="1">
        <v>380</v>
      </c>
      <c r="J979" s="1">
        <v>494</v>
      </c>
      <c r="K979" s="1">
        <v>210384</v>
      </c>
      <c r="L979" s="1" t="s">
        <v>19</v>
      </c>
      <c r="M979" s="1" t="s">
        <v>33</v>
      </c>
      <c r="N979" s="1">
        <v>1.3</v>
      </c>
    </row>
    <row r="980" spans="1:14" x14ac:dyDescent="0.3">
      <c r="A980" s="1" t="s">
        <v>1987</v>
      </c>
      <c r="B980" s="1" t="s">
        <v>1988</v>
      </c>
      <c r="C980" s="1">
        <v>60</v>
      </c>
      <c r="D980" s="1" t="s">
        <v>16</v>
      </c>
      <c r="E980" s="1" t="s">
        <v>48</v>
      </c>
      <c r="F980" s="1" t="s">
        <v>39</v>
      </c>
      <c r="G980" s="9">
        <v>782902.32</v>
      </c>
      <c r="H980" s="1">
        <v>792348.39</v>
      </c>
      <c r="I980" s="1">
        <v>499</v>
      </c>
      <c r="J980" s="1">
        <v>433</v>
      </c>
      <c r="K980" s="1">
        <v>157480</v>
      </c>
      <c r="L980" s="1" t="s">
        <v>26</v>
      </c>
      <c r="M980" s="1" t="s">
        <v>20</v>
      </c>
      <c r="N980" s="1">
        <v>3.3</v>
      </c>
    </row>
    <row r="981" spans="1:14" x14ac:dyDescent="0.3">
      <c r="A981" s="1" t="s">
        <v>1989</v>
      </c>
      <c r="B981" s="1" t="s">
        <v>1990</v>
      </c>
      <c r="C981" s="1">
        <v>47</v>
      </c>
      <c r="D981" s="1" t="s">
        <v>23</v>
      </c>
      <c r="E981" s="1" t="s">
        <v>48</v>
      </c>
      <c r="F981" s="1" t="s">
        <v>18</v>
      </c>
      <c r="G981" s="9">
        <v>1123541.48</v>
      </c>
      <c r="H981" s="1">
        <v>288542.3</v>
      </c>
      <c r="I981" s="1">
        <v>546</v>
      </c>
      <c r="J981" s="1">
        <v>232</v>
      </c>
      <c r="K981" s="1">
        <v>102527</v>
      </c>
      <c r="L981" s="1" t="s">
        <v>26</v>
      </c>
      <c r="M981" s="1" t="s">
        <v>20</v>
      </c>
      <c r="N981" s="1">
        <v>3.9</v>
      </c>
    </row>
    <row r="982" spans="1:14" x14ac:dyDescent="0.3">
      <c r="A982" s="1" t="s">
        <v>1991</v>
      </c>
      <c r="B982" s="1" t="s">
        <v>1992</v>
      </c>
      <c r="C982" s="1">
        <v>41</v>
      </c>
      <c r="D982" s="1" t="s">
        <v>16</v>
      </c>
      <c r="E982" s="1" t="s">
        <v>24</v>
      </c>
      <c r="F982" s="1" t="s">
        <v>25</v>
      </c>
      <c r="G982" s="9">
        <v>728811.01</v>
      </c>
      <c r="H982" s="1">
        <v>575874.59</v>
      </c>
      <c r="I982" s="1">
        <v>728</v>
      </c>
      <c r="J982" s="1">
        <v>122</v>
      </c>
      <c r="K982" s="1">
        <v>191266</v>
      </c>
      <c r="L982" s="1" t="s">
        <v>40</v>
      </c>
      <c r="M982" s="1" t="s">
        <v>33</v>
      </c>
      <c r="N982" s="1">
        <v>3.3</v>
      </c>
    </row>
    <row r="983" spans="1:14" x14ac:dyDescent="0.3">
      <c r="A983" s="1" t="s">
        <v>1993</v>
      </c>
      <c r="B983" s="1" t="s">
        <v>1994</v>
      </c>
      <c r="C983" s="1">
        <v>68</v>
      </c>
      <c r="D983" s="1" t="s">
        <v>16</v>
      </c>
      <c r="E983" s="1" t="s">
        <v>45</v>
      </c>
      <c r="F983" s="1" t="s">
        <v>39</v>
      </c>
      <c r="G983" s="9">
        <v>515649.85</v>
      </c>
      <c r="H983" s="1">
        <v>294910.06</v>
      </c>
      <c r="I983" s="1">
        <v>718</v>
      </c>
      <c r="J983" s="1">
        <v>220</v>
      </c>
      <c r="K983" s="1">
        <v>95205</v>
      </c>
      <c r="L983" s="1" t="s">
        <v>40</v>
      </c>
      <c r="M983" s="1" t="s">
        <v>33</v>
      </c>
      <c r="N983" s="1">
        <v>3</v>
      </c>
    </row>
    <row r="984" spans="1:14" x14ac:dyDescent="0.3">
      <c r="A984" s="1" t="s">
        <v>1995</v>
      </c>
      <c r="B984" s="1" t="s">
        <v>1996</v>
      </c>
      <c r="C984" s="1">
        <v>18</v>
      </c>
      <c r="D984" s="1" t="s">
        <v>16</v>
      </c>
      <c r="E984" s="1" t="s">
        <v>38</v>
      </c>
      <c r="F984" s="1" t="s">
        <v>18</v>
      </c>
      <c r="G984" s="9">
        <v>185579.32</v>
      </c>
      <c r="H984" s="1">
        <v>658440.31000000006</v>
      </c>
      <c r="I984" s="1">
        <v>867</v>
      </c>
      <c r="J984" s="1">
        <v>369</v>
      </c>
      <c r="K984" s="1">
        <v>63718</v>
      </c>
      <c r="L984" s="1" t="s">
        <v>30</v>
      </c>
      <c r="M984" s="1" t="s">
        <v>20</v>
      </c>
      <c r="N984" s="1">
        <v>4.7</v>
      </c>
    </row>
    <row r="985" spans="1:14" x14ac:dyDescent="0.3">
      <c r="A985" s="1" t="s">
        <v>1997</v>
      </c>
      <c r="B985" s="1" t="s">
        <v>1998</v>
      </c>
      <c r="C985" s="1">
        <v>62</v>
      </c>
      <c r="D985" s="1" t="s">
        <v>23</v>
      </c>
      <c r="E985" s="1" t="s">
        <v>48</v>
      </c>
      <c r="F985" s="1" t="s">
        <v>39</v>
      </c>
      <c r="G985" s="9">
        <v>1484950.56</v>
      </c>
      <c r="H985" s="1">
        <v>330944.39</v>
      </c>
      <c r="I985" s="1">
        <v>842</v>
      </c>
      <c r="J985" s="1">
        <v>475</v>
      </c>
      <c r="K985" s="1">
        <v>63761</v>
      </c>
      <c r="L985" s="1" t="s">
        <v>30</v>
      </c>
      <c r="M985" s="1" t="s">
        <v>20</v>
      </c>
      <c r="N985" s="1">
        <v>2.6</v>
      </c>
    </row>
    <row r="986" spans="1:14" x14ac:dyDescent="0.3">
      <c r="A986" s="1" t="s">
        <v>1999</v>
      </c>
      <c r="B986" s="1" t="s">
        <v>2000</v>
      </c>
      <c r="C986" s="1">
        <v>63</v>
      </c>
      <c r="D986" s="1" t="s">
        <v>16</v>
      </c>
      <c r="E986" s="1" t="s">
        <v>76</v>
      </c>
      <c r="F986" s="1" t="s">
        <v>18</v>
      </c>
      <c r="G986" s="9">
        <v>182949.32</v>
      </c>
      <c r="H986" s="1">
        <v>2243565.7999999998</v>
      </c>
      <c r="I986" s="1">
        <v>644</v>
      </c>
      <c r="J986" s="1">
        <v>307</v>
      </c>
      <c r="K986" s="1">
        <v>96910</v>
      </c>
      <c r="L986" s="1" t="s">
        <v>26</v>
      </c>
      <c r="M986" s="1" t="s">
        <v>33</v>
      </c>
      <c r="N986" s="1">
        <v>3.4</v>
      </c>
    </row>
    <row r="987" spans="1:14" x14ac:dyDescent="0.3">
      <c r="A987" s="1" t="s">
        <v>2001</v>
      </c>
      <c r="B987" s="1" t="s">
        <v>2002</v>
      </c>
      <c r="C987" s="1">
        <v>44</v>
      </c>
      <c r="D987" s="1" t="s">
        <v>16</v>
      </c>
      <c r="E987" s="1" t="s">
        <v>38</v>
      </c>
      <c r="F987" s="1" t="s">
        <v>18</v>
      </c>
      <c r="G987" s="9">
        <v>677381.8</v>
      </c>
      <c r="H987" s="1">
        <v>2087011.68</v>
      </c>
      <c r="I987" s="1">
        <v>596</v>
      </c>
      <c r="J987" s="1">
        <v>392</v>
      </c>
      <c r="K987" s="1">
        <v>185368</v>
      </c>
      <c r="L987" s="1" t="s">
        <v>40</v>
      </c>
      <c r="M987" s="1" t="s">
        <v>20</v>
      </c>
      <c r="N987" s="1">
        <v>2.9</v>
      </c>
    </row>
    <row r="988" spans="1:14" x14ac:dyDescent="0.3">
      <c r="A988" s="1" t="s">
        <v>2003</v>
      </c>
      <c r="B988" s="1" t="s">
        <v>2004</v>
      </c>
      <c r="C988" s="1">
        <v>55</v>
      </c>
      <c r="D988" s="1" t="s">
        <v>23</v>
      </c>
      <c r="E988" s="1" t="s">
        <v>29</v>
      </c>
      <c r="F988" s="1" t="s">
        <v>39</v>
      </c>
      <c r="G988" s="9">
        <v>557961.49</v>
      </c>
      <c r="H988" s="1">
        <v>1623511.9</v>
      </c>
      <c r="I988" s="1">
        <v>688</v>
      </c>
      <c r="J988" s="1">
        <v>169</v>
      </c>
      <c r="K988" s="1">
        <v>175464</v>
      </c>
      <c r="L988" s="1" t="s">
        <v>26</v>
      </c>
      <c r="M988" s="1" t="s">
        <v>33</v>
      </c>
      <c r="N988" s="1">
        <v>2.8</v>
      </c>
    </row>
    <row r="989" spans="1:14" x14ac:dyDescent="0.3">
      <c r="A989" s="1" t="s">
        <v>2005</v>
      </c>
      <c r="B989" s="1" t="s">
        <v>2006</v>
      </c>
      <c r="C989" s="1">
        <v>39</v>
      </c>
      <c r="D989" s="1" t="s">
        <v>23</v>
      </c>
      <c r="E989" s="1" t="s">
        <v>55</v>
      </c>
      <c r="F989" s="1" t="s">
        <v>81</v>
      </c>
      <c r="G989" s="9">
        <v>848376.35</v>
      </c>
      <c r="H989" s="1">
        <v>2243254.06</v>
      </c>
      <c r="I989" s="1">
        <v>893</v>
      </c>
      <c r="J989" s="1">
        <v>265</v>
      </c>
      <c r="K989" s="1">
        <v>32658</v>
      </c>
      <c r="L989" s="1" t="s">
        <v>30</v>
      </c>
      <c r="M989" s="1" t="s">
        <v>33</v>
      </c>
      <c r="N989" s="1">
        <v>4.4000000000000004</v>
      </c>
    </row>
    <row r="990" spans="1:14" x14ac:dyDescent="0.3">
      <c r="A990" s="1" t="s">
        <v>2007</v>
      </c>
      <c r="B990" s="1" t="s">
        <v>2008</v>
      </c>
      <c r="C990" s="1">
        <v>66</v>
      </c>
      <c r="D990" s="1" t="s">
        <v>23</v>
      </c>
      <c r="E990" s="1" t="s">
        <v>29</v>
      </c>
      <c r="F990" s="1" t="s">
        <v>81</v>
      </c>
      <c r="G990" s="9">
        <v>1430502.93</v>
      </c>
      <c r="H990" s="1">
        <v>104836.07</v>
      </c>
      <c r="I990" s="1">
        <v>515</v>
      </c>
      <c r="J990" s="1">
        <v>225</v>
      </c>
      <c r="K990" s="1">
        <v>66770</v>
      </c>
      <c r="L990" s="1" t="s">
        <v>26</v>
      </c>
      <c r="M990" s="1" t="s">
        <v>20</v>
      </c>
      <c r="N990" s="1">
        <v>3.1</v>
      </c>
    </row>
    <row r="991" spans="1:14" x14ac:dyDescent="0.3">
      <c r="A991" s="1" t="s">
        <v>2009</v>
      </c>
      <c r="B991" s="1" t="s">
        <v>2010</v>
      </c>
      <c r="C991" s="1">
        <v>25</v>
      </c>
      <c r="D991" s="1" t="s">
        <v>23</v>
      </c>
      <c r="E991" s="1" t="s">
        <v>29</v>
      </c>
      <c r="F991" s="1" t="s">
        <v>39</v>
      </c>
      <c r="G991" s="9">
        <v>414403.51</v>
      </c>
      <c r="H991" s="1">
        <v>1097291.8600000001</v>
      </c>
      <c r="I991" s="1">
        <v>473</v>
      </c>
      <c r="J991" s="1">
        <v>152</v>
      </c>
      <c r="K991" s="1">
        <v>95456</v>
      </c>
      <c r="L991" s="1" t="s">
        <v>26</v>
      </c>
      <c r="M991" s="1" t="s">
        <v>20</v>
      </c>
      <c r="N991" s="1">
        <v>4.8</v>
      </c>
    </row>
    <row r="992" spans="1:14" x14ac:dyDescent="0.3">
      <c r="A992" s="1" t="s">
        <v>2011</v>
      </c>
      <c r="B992" s="1" t="s">
        <v>2012</v>
      </c>
      <c r="C992" s="1">
        <v>24</v>
      </c>
      <c r="D992" s="1" t="s">
        <v>16</v>
      </c>
      <c r="E992" s="1" t="s">
        <v>24</v>
      </c>
      <c r="F992" s="1" t="s">
        <v>18</v>
      </c>
      <c r="G992" s="9">
        <v>830484.35</v>
      </c>
      <c r="H992" s="1">
        <v>1271745.43</v>
      </c>
      <c r="I992" s="1">
        <v>472</v>
      </c>
      <c r="J992" s="1">
        <v>19</v>
      </c>
      <c r="K992" s="1">
        <v>74222</v>
      </c>
      <c r="L992" s="1" t="s">
        <v>30</v>
      </c>
      <c r="M992" s="1" t="s">
        <v>20</v>
      </c>
      <c r="N992" s="1">
        <v>3.4</v>
      </c>
    </row>
    <row r="993" spans="1:14" x14ac:dyDescent="0.3">
      <c r="A993" s="1" t="s">
        <v>2013</v>
      </c>
      <c r="B993" s="1" t="s">
        <v>2014</v>
      </c>
      <c r="C993" s="1">
        <v>41</v>
      </c>
      <c r="D993" s="1" t="s">
        <v>16</v>
      </c>
      <c r="E993" s="1" t="s">
        <v>45</v>
      </c>
      <c r="F993" s="1" t="s">
        <v>81</v>
      </c>
      <c r="G993" s="9">
        <v>426347.1</v>
      </c>
      <c r="H993" s="1">
        <v>2369699.4300000002</v>
      </c>
      <c r="I993" s="1">
        <v>736</v>
      </c>
      <c r="J993" s="1">
        <v>379</v>
      </c>
      <c r="K993" s="1">
        <v>73252</v>
      </c>
      <c r="L993" s="1" t="s">
        <v>19</v>
      </c>
      <c r="M993" s="1" t="s">
        <v>20</v>
      </c>
      <c r="N993" s="1">
        <v>2.8</v>
      </c>
    </row>
    <row r="994" spans="1:14" x14ac:dyDescent="0.3">
      <c r="A994" s="1" t="s">
        <v>2015</v>
      </c>
      <c r="B994" s="1" t="s">
        <v>2016</v>
      </c>
      <c r="C994" s="1">
        <v>46</v>
      </c>
      <c r="D994" s="1" t="s">
        <v>16</v>
      </c>
      <c r="E994" s="1" t="s">
        <v>48</v>
      </c>
      <c r="F994" s="1" t="s">
        <v>18</v>
      </c>
      <c r="G994" s="9">
        <v>742417.05</v>
      </c>
      <c r="H994" s="1">
        <v>217159.57</v>
      </c>
      <c r="I994" s="1">
        <v>440</v>
      </c>
      <c r="J994" s="1">
        <v>147</v>
      </c>
      <c r="K994" s="1">
        <v>133315</v>
      </c>
      <c r="L994" s="1" t="s">
        <v>40</v>
      </c>
      <c r="M994" s="1" t="s">
        <v>20</v>
      </c>
      <c r="N994" s="1">
        <v>3.9</v>
      </c>
    </row>
    <row r="995" spans="1:14" x14ac:dyDescent="0.3">
      <c r="A995" s="1" t="s">
        <v>2017</v>
      </c>
      <c r="B995" s="1" t="s">
        <v>2018</v>
      </c>
      <c r="C995" s="1">
        <v>38</v>
      </c>
      <c r="D995" s="1" t="s">
        <v>23</v>
      </c>
      <c r="E995" s="1" t="s">
        <v>76</v>
      </c>
      <c r="F995" s="1" t="s">
        <v>25</v>
      </c>
      <c r="G995" s="9">
        <v>763054.96</v>
      </c>
      <c r="H995" s="1">
        <v>690270.07</v>
      </c>
      <c r="I995" s="1">
        <v>825</v>
      </c>
      <c r="J995" s="1">
        <v>349</v>
      </c>
      <c r="K995" s="1">
        <v>61085</v>
      </c>
      <c r="L995" s="1" t="s">
        <v>19</v>
      </c>
      <c r="M995" s="1" t="s">
        <v>33</v>
      </c>
      <c r="N995" s="1">
        <v>4.0999999999999996</v>
      </c>
    </row>
    <row r="996" spans="1:14" x14ac:dyDescent="0.3">
      <c r="A996" s="1" t="s">
        <v>2019</v>
      </c>
      <c r="B996" s="1" t="s">
        <v>2020</v>
      </c>
      <c r="C996" s="1">
        <v>30</v>
      </c>
      <c r="D996" s="1" t="s">
        <v>16</v>
      </c>
      <c r="E996" s="1" t="s">
        <v>24</v>
      </c>
      <c r="F996" s="1" t="s">
        <v>39</v>
      </c>
      <c r="G996" s="9">
        <v>839464.58</v>
      </c>
      <c r="H996" s="1">
        <v>2094087.6</v>
      </c>
      <c r="I996" s="1">
        <v>336</v>
      </c>
      <c r="J996" s="1">
        <v>490</v>
      </c>
      <c r="K996" s="1">
        <v>240576</v>
      </c>
      <c r="L996" s="1" t="s">
        <v>30</v>
      </c>
      <c r="M996" s="1" t="s">
        <v>20</v>
      </c>
      <c r="N996" s="1">
        <v>3.5</v>
      </c>
    </row>
    <row r="997" spans="1:14" x14ac:dyDescent="0.3">
      <c r="A997" s="1" t="s">
        <v>2021</v>
      </c>
      <c r="B997" s="1" t="s">
        <v>2022</v>
      </c>
      <c r="C997" s="1">
        <v>61</v>
      </c>
      <c r="D997" s="1" t="s">
        <v>16</v>
      </c>
      <c r="E997" s="1" t="s">
        <v>24</v>
      </c>
      <c r="F997" s="1" t="s">
        <v>18</v>
      </c>
      <c r="G997" s="9">
        <v>401602.64</v>
      </c>
      <c r="H997" s="1">
        <v>378582.77</v>
      </c>
      <c r="I997" s="1">
        <v>491</v>
      </c>
      <c r="J997" s="1">
        <v>380</v>
      </c>
      <c r="K997" s="1">
        <v>71295</v>
      </c>
      <c r="L997" s="1" t="s">
        <v>40</v>
      </c>
      <c r="M997" s="1" t="s">
        <v>20</v>
      </c>
      <c r="N997" s="1">
        <v>3</v>
      </c>
    </row>
    <row r="998" spans="1:14" x14ac:dyDescent="0.3">
      <c r="A998" s="1" t="s">
        <v>2023</v>
      </c>
      <c r="B998" s="1" t="s">
        <v>2024</v>
      </c>
      <c r="C998" s="1">
        <v>45</v>
      </c>
      <c r="D998" s="1" t="s">
        <v>23</v>
      </c>
      <c r="E998" s="1" t="s">
        <v>17</v>
      </c>
      <c r="F998" s="1" t="s">
        <v>39</v>
      </c>
      <c r="G998" s="9">
        <v>738583.27</v>
      </c>
      <c r="H998" s="1">
        <v>1528042.97</v>
      </c>
      <c r="I998" s="1">
        <v>482</v>
      </c>
      <c r="J998" s="1">
        <v>24</v>
      </c>
      <c r="K998" s="1">
        <v>37632</v>
      </c>
      <c r="L998" s="1" t="s">
        <v>26</v>
      </c>
      <c r="M998" s="1" t="s">
        <v>33</v>
      </c>
      <c r="N998" s="1">
        <v>2.7</v>
      </c>
    </row>
    <row r="999" spans="1:14" x14ac:dyDescent="0.3">
      <c r="A999" s="1" t="s">
        <v>2025</v>
      </c>
      <c r="B999" s="1" t="s">
        <v>2026</v>
      </c>
      <c r="C999" s="1">
        <v>51</v>
      </c>
      <c r="D999" s="1" t="s">
        <v>23</v>
      </c>
      <c r="E999" s="1" t="s">
        <v>45</v>
      </c>
      <c r="F999" s="1" t="s">
        <v>25</v>
      </c>
      <c r="G999" s="9">
        <v>1431731.16</v>
      </c>
      <c r="H999" s="1">
        <v>2194724.13</v>
      </c>
      <c r="I999" s="1">
        <v>537</v>
      </c>
      <c r="J999" s="1">
        <v>453</v>
      </c>
      <c r="K999" s="1">
        <v>192213</v>
      </c>
      <c r="L999" s="1" t="s">
        <v>26</v>
      </c>
      <c r="M999" s="1" t="s">
        <v>33</v>
      </c>
      <c r="N999" s="1">
        <v>2.2000000000000002</v>
      </c>
    </row>
    <row r="1000" spans="1:14" x14ac:dyDescent="0.3">
      <c r="A1000" s="1" t="s">
        <v>2027</v>
      </c>
      <c r="B1000" s="1" t="s">
        <v>2028</v>
      </c>
      <c r="C1000" s="1">
        <v>36</v>
      </c>
      <c r="D1000" s="1" t="s">
        <v>23</v>
      </c>
      <c r="E1000" s="1" t="s">
        <v>24</v>
      </c>
      <c r="F1000" s="1" t="s">
        <v>25</v>
      </c>
      <c r="G1000" s="9">
        <v>332301.14</v>
      </c>
      <c r="H1000" s="1">
        <v>2407297.38</v>
      </c>
      <c r="I1000" s="1">
        <v>594</v>
      </c>
      <c r="J1000" s="1">
        <v>219</v>
      </c>
      <c r="K1000" s="1">
        <v>45305</v>
      </c>
      <c r="L1000" s="1" t="s">
        <v>19</v>
      </c>
      <c r="M1000" s="1" t="s">
        <v>20</v>
      </c>
      <c r="N1000" s="1">
        <v>4.9000000000000004</v>
      </c>
    </row>
    <row r="1001" spans="1:14" x14ac:dyDescent="0.3">
      <c r="A1001" s="1" t="s">
        <v>2029</v>
      </c>
      <c r="B1001" s="1" t="s">
        <v>2030</v>
      </c>
      <c r="C1001" s="1">
        <v>47</v>
      </c>
      <c r="D1001" s="1" t="s">
        <v>23</v>
      </c>
      <c r="E1001" s="1" t="s">
        <v>45</v>
      </c>
      <c r="F1001" s="1" t="s">
        <v>25</v>
      </c>
      <c r="G1001" s="9">
        <v>992616.23</v>
      </c>
      <c r="H1001" s="1">
        <v>868946.44</v>
      </c>
      <c r="I1001" s="1">
        <v>707</v>
      </c>
      <c r="J1001" s="1">
        <v>365</v>
      </c>
      <c r="K1001" s="1">
        <v>103599</v>
      </c>
      <c r="L1001" s="1" t="s">
        <v>40</v>
      </c>
      <c r="M1001" s="1" t="s">
        <v>20</v>
      </c>
      <c r="N1001" s="1">
        <v>1.5</v>
      </c>
    </row>
    <row r="1002" spans="1:14" x14ac:dyDescent="0.3">
      <c r="A1002" s="1" t="s">
        <v>2031</v>
      </c>
      <c r="B1002" s="1" t="s">
        <v>2032</v>
      </c>
      <c r="C1002" s="1">
        <v>36</v>
      </c>
      <c r="D1002" s="1" t="s">
        <v>23</v>
      </c>
      <c r="E1002" s="1" t="s">
        <v>55</v>
      </c>
      <c r="F1002" s="1" t="s">
        <v>81</v>
      </c>
      <c r="G1002" s="9">
        <v>763693.67</v>
      </c>
      <c r="H1002" s="1">
        <v>2224526.5299999998</v>
      </c>
      <c r="I1002" s="1">
        <v>718</v>
      </c>
      <c r="J1002" s="1">
        <v>36</v>
      </c>
      <c r="K1002" s="1">
        <v>90234</v>
      </c>
      <c r="L1002" s="1" t="s">
        <v>30</v>
      </c>
      <c r="M1002" s="1" t="s">
        <v>33</v>
      </c>
      <c r="N1002" s="1">
        <v>3.2</v>
      </c>
    </row>
    <row r="1003" spans="1:14" x14ac:dyDescent="0.3">
      <c r="A1003" s="1" t="s">
        <v>2033</v>
      </c>
      <c r="B1003" s="1" t="s">
        <v>2034</v>
      </c>
      <c r="C1003" s="1">
        <v>69</v>
      </c>
      <c r="D1003" s="1" t="s">
        <v>16</v>
      </c>
      <c r="E1003" s="1" t="s">
        <v>48</v>
      </c>
      <c r="F1003" s="1" t="s">
        <v>18</v>
      </c>
      <c r="G1003" s="9">
        <v>640672.92000000004</v>
      </c>
      <c r="H1003" s="1">
        <v>651748.46</v>
      </c>
      <c r="I1003" s="1">
        <v>355</v>
      </c>
      <c r="J1003" s="1">
        <v>142</v>
      </c>
      <c r="K1003" s="1">
        <v>135854</v>
      </c>
      <c r="L1003" s="1" t="s">
        <v>26</v>
      </c>
      <c r="M1003" s="1" t="s">
        <v>33</v>
      </c>
      <c r="N1003" s="1">
        <v>2.9</v>
      </c>
    </row>
    <row r="1004" spans="1:14" x14ac:dyDescent="0.3">
      <c r="A1004" s="1" t="s">
        <v>2035</v>
      </c>
      <c r="B1004" s="1" t="s">
        <v>2036</v>
      </c>
      <c r="C1004" s="1">
        <v>44</v>
      </c>
      <c r="D1004" s="1" t="s">
        <v>23</v>
      </c>
      <c r="E1004" s="1" t="s">
        <v>38</v>
      </c>
      <c r="F1004" s="1" t="s">
        <v>18</v>
      </c>
      <c r="G1004" s="9">
        <v>860896.02</v>
      </c>
      <c r="H1004" s="1">
        <v>416337.86</v>
      </c>
      <c r="I1004" s="1">
        <v>511</v>
      </c>
      <c r="J1004" s="1">
        <v>404</v>
      </c>
      <c r="K1004" s="1">
        <v>78015</v>
      </c>
      <c r="L1004" s="1" t="s">
        <v>19</v>
      </c>
      <c r="M1004" s="1" t="s">
        <v>33</v>
      </c>
      <c r="N1004" s="1">
        <v>3.5</v>
      </c>
    </row>
    <row r="1005" spans="1:14" x14ac:dyDescent="0.3">
      <c r="A1005" s="1" t="s">
        <v>2037</v>
      </c>
      <c r="B1005" s="1" t="s">
        <v>2038</v>
      </c>
      <c r="C1005" s="1">
        <v>23</v>
      </c>
      <c r="D1005" s="1" t="s">
        <v>16</v>
      </c>
      <c r="E1005" s="1" t="s">
        <v>48</v>
      </c>
      <c r="F1005" s="1" t="s">
        <v>39</v>
      </c>
      <c r="G1005" s="9">
        <v>1058572.1299999999</v>
      </c>
      <c r="H1005" s="1">
        <v>2280571.41</v>
      </c>
      <c r="I1005" s="1">
        <v>866</v>
      </c>
      <c r="J1005" s="1">
        <v>37</v>
      </c>
      <c r="K1005" s="1">
        <v>224585</v>
      </c>
      <c r="L1005" s="1" t="s">
        <v>40</v>
      </c>
      <c r="M1005" s="1" t="s">
        <v>33</v>
      </c>
      <c r="N1005" s="1">
        <v>3.6</v>
      </c>
    </row>
    <row r="1006" spans="1:14" x14ac:dyDescent="0.3">
      <c r="A1006" s="1" t="s">
        <v>2039</v>
      </c>
      <c r="B1006" s="1" t="s">
        <v>2040</v>
      </c>
      <c r="C1006" s="1">
        <v>63</v>
      </c>
      <c r="D1006" s="1" t="s">
        <v>16</v>
      </c>
      <c r="E1006" s="1" t="s">
        <v>76</v>
      </c>
      <c r="F1006" s="1" t="s">
        <v>18</v>
      </c>
      <c r="G1006" s="9">
        <v>438830.29</v>
      </c>
      <c r="H1006" s="1">
        <v>403510.44</v>
      </c>
      <c r="I1006" s="1">
        <v>682</v>
      </c>
      <c r="J1006" s="1">
        <v>174</v>
      </c>
      <c r="K1006" s="1">
        <v>80118</v>
      </c>
      <c r="L1006" s="1" t="s">
        <v>19</v>
      </c>
      <c r="M1006" s="1" t="s">
        <v>20</v>
      </c>
      <c r="N1006" s="1">
        <v>2.7</v>
      </c>
    </row>
    <row r="1007" spans="1:14" x14ac:dyDescent="0.3">
      <c r="A1007" s="1" t="s">
        <v>2041</v>
      </c>
      <c r="B1007" s="1" t="s">
        <v>2042</v>
      </c>
      <c r="C1007" s="1">
        <v>50</v>
      </c>
      <c r="D1007" s="1" t="s">
        <v>16</v>
      </c>
      <c r="E1007" s="1" t="s">
        <v>76</v>
      </c>
      <c r="F1007" s="1" t="s">
        <v>81</v>
      </c>
      <c r="G1007" s="9">
        <v>1188058.48</v>
      </c>
      <c r="H1007" s="1">
        <v>105712.92</v>
      </c>
      <c r="I1007" s="1">
        <v>589</v>
      </c>
      <c r="J1007" s="1">
        <v>159</v>
      </c>
      <c r="K1007" s="1">
        <v>124316</v>
      </c>
      <c r="L1007" s="1" t="s">
        <v>19</v>
      </c>
      <c r="M1007" s="1" t="s">
        <v>33</v>
      </c>
      <c r="N1007" s="1">
        <v>1.1000000000000001</v>
      </c>
    </row>
    <row r="1008" spans="1:14" x14ac:dyDescent="0.3">
      <c r="A1008" s="1" t="s">
        <v>2043</v>
      </c>
      <c r="B1008" s="1" t="s">
        <v>2044</v>
      </c>
      <c r="C1008" s="1">
        <v>59</v>
      </c>
      <c r="D1008" s="1" t="s">
        <v>16</v>
      </c>
      <c r="E1008" s="1" t="s">
        <v>17</v>
      </c>
      <c r="F1008" s="1" t="s">
        <v>18</v>
      </c>
      <c r="G1008" s="9">
        <v>201133.82</v>
      </c>
      <c r="H1008" s="1">
        <v>1851314.34</v>
      </c>
      <c r="I1008" s="1">
        <v>576</v>
      </c>
      <c r="J1008" s="1">
        <v>446</v>
      </c>
      <c r="K1008" s="1">
        <v>125054</v>
      </c>
      <c r="L1008" s="1" t="s">
        <v>19</v>
      </c>
      <c r="M1008" s="1" t="s">
        <v>20</v>
      </c>
      <c r="N1008" s="1">
        <v>1.3</v>
      </c>
    </row>
    <row r="1009" spans="1:14" x14ac:dyDescent="0.3">
      <c r="A1009" s="1" t="s">
        <v>2045</v>
      </c>
      <c r="B1009" s="1" t="s">
        <v>2046</v>
      </c>
      <c r="C1009" s="1">
        <v>24</v>
      </c>
      <c r="D1009" s="1" t="s">
        <v>16</v>
      </c>
      <c r="E1009" s="1" t="s">
        <v>55</v>
      </c>
      <c r="F1009" s="1" t="s">
        <v>81</v>
      </c>
      <c r="G1009" s="9">
        <v>884352.71</v>
      </c>
      <c r="H1009" s="1">
        <v>977809.75</v>
      </c>
      <c r="I1009" s="1">
        <v>619</v>
      </c>
      <c r="J1009" s="1">
        <v>406</v>
      </c>
      <c r="K1009" s="1">
        <v>212904</v>
      </c>
      <c r="L1009" s="1" t="s">
        <v>30</v>
      </c>
      <c r="M1009" s="1" t="s">
        <v>20</v>
      </c>
      <c r="N1009" s="1">
        <v>2.2999999999999998</v>
      </c>
    </row>
    <row r="1010" spans="1:14" x14ac:dyDescent="0.3">
      <c r="A1010" s="1" t="s">
        <v>2047</v>
      </c>
      <c r="B1010" s="1" t="s">
        <v>2048</v>
      </c>
      <c r="C1010" s="1">
        <v>24</v>
      </c>
      <c r="D1010" s="1" t="s">
        <v>16</v>
      </c>
      <c r="E1010" s="1" t="s">
        <v>17</v>
      </c>
      <c r="F1010" s="1" t="s">
        <v>81</v>
      </c>
      <c r="G1010" s="9">
        <v>1454047.27</v>
      </c>
      <c r="H1010" s="1">
        <v>1440502.95</v>
      </c>
      <c r="I1010" s="1">
        <v>685</v>
      </c>
      <c r="J1010" s="1">
        <v>154</v>
      </c>
      <c r="K1010" s="1">
        <v>89276</v>
      </c>
      <c r="L1010" s="1" t="s">
        <v>30</v>
      </c>
      <c r="M1010" s="1" t="s">
        <v>33</v>
      </c>
      <c r="N1010" s="1">
        <v>2.7</v>
      </c>
    </row>
    <row r="1011" spans="1:14" x14ac:dyDescent="0.3">
      <c r="A1011" s="1" t="s">
        <v>2049</v>
      </c>
      <c r="B1011" s="1" t="s">
        <v>2050</v>
      </c>
      <c r="C1011" s="1">
        <v>62</v>
      </c>
      <c r="D1011" s="1" t="s">
        <v>23</v>
      </c>
      <c r="E1011" s="1" t="s">
        <v>29</v>
      </c>
      <c r="F1011" s="1" t="s">
        <v>25</v>
      </c>
      <c r="G1011" s="9">
        <v>762357.29</v>
      </c>
      <c r="H1011" s="1">
        <v>956020.84</v>
      </c>
      <c r="I1011" s="1">
        <v>808</v>
      </c>
      <c r="J1011" s="1">
        <v>377</v>
      </c>
      <c r="K1011" s="1">
        <v>159776</v>
      </c>
      <c r="L1011" s="1" t="s">
        <v>40</v>
      </c>
      <c r="M1011" s="1" t="s">
        <v>20</v>
      </c>
      <c r="N1011" s="1">
        <v>2.6</v>
      </c>
    </row>
    <row r="1012" spans="1:14" x14ac:dyDescent="0.3">
      <c r="A1012" s="1" t="s">
        <v>2051</v>
      </c>
      <c r="B1012" s="1" t="s">
        <v>2052</v>
      </c>
      <c r="C1012" s="1">
        <v>43</v>
      </c>
      <c r="D1012" s="1" t="s">
        <v>23</v>
      </c>
      <c r="E1012" s="1" t="s">
        <v>38</v>
      </c>
      <c r="F1012" s="1" t="s">
        <v>18</v>
      </c>
      <c r="G1012" s="9">
        <v>352012.74</v>
      </c>
      <c r="H1012" s="1">
        <v>924554.07</v>
      </c>
      <c r="I1012" s="1">
        <v>876</v>
      </c>
      <c r="J1012" s="1">
        <v>60</v>
      </c>
      <c r="K1012" s="1">
        <v>222166</v>
      </c>
      <c r="L1012" s="1" t="s">
        <v>19</v>
      </c>
      <c r="M1012" s="1" t="s">
        <v>20</v>
      </c>
      <c r="N1012" s="1">
        <v>3.6</v>
      </c>
    </row>
    <row r="1013" spans="1:14" x14ac:dyDescent="0.3">
      <c r="A1013" s="1" t="s">
        <v>2053</v>
      </c>
      <c r="B1013" s="1" t="s">
        <v>2054</v>
      </c>
      <c r="C1013" s="1">
        <v>31</v>
      </c>
      <c r="D1013" s="1" t="s">
        <v>23</v>
      </c>
      <c r="E1013" s="1" t="s">
        <v>24</v>
      </c>
      <c r="F1013" s="1" t="s">
        <v>18</v>
      </c>
      <c r="G1013" s="9">
        <v>1413429.45</v>
      </c>
      <c r="H1013" s="1">
        <v>1483523.83</v>
      </c>
      <c r="I1013" s="1">
        <v>385</v>
      </c>
      <c r="J1013" s="1">
        <v>77</v>
      </c>
      <c r="K1013" s="1">
        <v>246709</v>
      </c>
      <c r="L1013" s="1" t="s">
        <v>30</v>
      </c>
      <c r="M1013" s="1" t="s">
        <v>33</v>
      </c>
      <c r="N1013" s="1">
        <v>2.6</v>
      </c>
    </row>
    <row r="1014" spans="1:14" x14ac:dyDescent="0.3">
      <c r="A1014" s="1" t="s">
        <v>2055</v>
      </c>
      <c r="B1014" s="1" t="s">
        <v>2056</v>
      </c>
      <c r="C1014" s="1">
        <v>44</v>
      </c>
      <c r="D1014" s="1" t="s">
        <v>23</v>
      </c>
      <c r="E1014" s="1" t="s">
        <v>76</v>
      </c>
      <c r="F1014" s="1" t="s">
        <v>81</v>
      </c>
      <c r="G1014" s="9">
        <v>1112064.1399999999</v>
      </c>
      <c r="H1014" s="1">
        <v>2085808.56</v>
      </c>
      <c r="I1014" s="1">
        <v>337</v>
      </c>
      <c r="J1014" s="1">
        <v>169</v>
      </c>
      <c r="K1014" s="1">
        <v>101646</v>
      </c>
      <c r="L1014" s="1" t="s">
        <v>40</v>
      </c>
      <c r="M1014" s="1" t="s">
        <v>33</v>
      </c>
      <c r="N1014" s="1">
        <v>3.8</v>
      </c>
    </row>
    <row r="1015" spans="1:14" x14ac:dyDescent="0.3">
      <c r="A1015" s="1" t="s">
        <v>2057</v>
      </c>
      <c r="B1015" s="1" t="s">
        <v>2058</v>
      </c>
      <c r="C1015" s="1">
        <v>52</v>
      </c>
      <c r="D1015" s="1" t="s">
        <v>16</v>
      </c>
      <c r="E1015" s="1" t="s">
        <v>29</v>
      </c>
      <c r="F1015" s="1" t="s">
        <v>25</v>
      </c>
      <c r="G1015" s="9">
        <v>472959.18</v>
      </c>
      <c r="H1015" s="1">
        <v>1630021.56</v>
      </c>
      <c r="I1015" s="1">
        <v>629</v>
      </c>
      <c r="J1015" s="1">
        <v>241</v>
      </c>
      <c r="K1015" s="1">
        <v>151023</v>
      </c>
      <c r="L1015" s="1" t="s">
        <v>19</v>
      </c>
      <c r="M1015" s="1" t="s">
        <v>33</v>
      </c>
      <c r="N1015" s="1">
        <v>3.8</v>
      </c>
    </row>
    <row r="1016" spans="1:14" x14ac:dyDescent="0.3">
      <c r="A1016" s="1" t="s">
        <v>2059</v>
      </c>
      <c r="B1016" s="1" t="s">
        <v>2060</v>
      </c>
      <c r="C1016" s="1">
        <v>26</v>
      </c>
      <c r="D1016" s="1" t="s">
        <v>16</v>
      </c>
      <c r="E1016" s="1" t="s">
        <v>76</v>
      </c>
      <c r="F1016" s="1" t="s">
        <v>25</v>
      </c>
      <c r="G1016" s="9">
        <v>25368.66</v>
      </c>
      <c r="H1016" s="1">
        <v>1299847.55</v>
      </c>
      <c r="I1016" s="1">
        <v>424</v>
      </c>
      <c r="J1016" s="1">
        <v>90</v>
      </c>
      <c r="K1016" s="1">
        <v>218413</v>
      </c>
      <c r="L1016" s="1" t="s">
        <v>30</v>
      </c>
      <c r="M1016" s="1" t="s">
        <v>20</v>
      </c>
      <c r="N1016" s="1">
        <v>1.8</v>
      </c>
    </row>
    <row r="1017" spans="1:14" x14ac:dyDescent="0.3">
      <c r="A1017" s="1" t="s">
        <v>2061</v>
      </c>
      <c r="B1017" s="1" t="s">
        <v>2062</v>
      </c>
      <c r="C1017" s="1">
        <v>58</v>
      </c>
      <c r="D1017" s="1" t="s">
        <v>23</v>
      </c>
      <c r="E1017" s="1" t="s">
        <v>29</v>
      </c>
      <c r="F1017" s="1" t="s">
        <v>25</v>
      </c>
      <c r="G1017" s="9">
        <v>789260.7</v>
      </c>
      <c r="H1017" s="1">
        <v>349663.47</v>
      </c>
      <c r="I1017" s="1">
        <v>860</v>
      </c>
      <c r="J1017" s="1">
        <v>219</v>
      </c>
      <c r="K1017" s="1">
        <v>230541</v>
      </c>
      <c r="L1017" s="1" t="s">
        <v>26</v>
      </c>
      <c r="M1017" s="1" t="s">
        <v>33</v>
      </c>
      <c r="N1017" s="1">
        <v>2.6</v>
      </c>
    </row>
    <row r="1018" spans="1:14" x14ac:dyDescent="0.3">
      <c r="A1018" s="1" t="s">
        <v>2063</v>
      </c>
      <c r="B1018" s="1" t="s">
        <v>2064</v>
      </c>
      <c r="C1018" s="1">
        <v>51</v>
      </c>
      <c r="D1018" s="1" t="s">
        <v>16</v>
      </c>
      <c r="E1018" s="1" t="s">
        <v>48</v>
      </c>
      <c r="F1018" s="1" t="s">
        <v>81</v>
      </c>
      <c r="G1018" s="9">
        <v>924575.23</v>
      </c>
      <c r="H1018" s="1">
        <v>929079.53</v>
      </c>
      <c r="I1018" s="1">
        <v>469</v>
      </c>
      <c r="J1018" s="1">
        <v>77</v>
      </c>
      <c r="K1018" s="1">
        <v>104511</v>
      </c>
      <c r="L1018" s="1" t="s">
        <v>30</v>
      </c>
      <c r="M1018" s="1" t="s">
        <v>33</v>
      </c>
      <c r="N1018" s="1">
        <v>2.2000000000000002</v>
      </c>
    </row>
    <row r="1019" spans="1:14" x14ac:dyDescent="0.3">
      <c r="A1019" s="1" t="s">
        <v>2065</v>
      </c>
      <c r="B1019" s="1" t="s">
        <v>2066</v>
      </c>
      <c r="C1019" s="1">
        <v>31</v>
      </c>
      <c r="D1019" s="1" t="s">
        <v>23</v>
      </c>
      <c r="E1019" s="1" t="s">
        <v>76</v>
      </c>
      <c r="F1019" s="1" t="s">
        <v>81</v>
      </c>
      <c r="G1019" s="9">
        <v>1390983.99</v>
      </c>
      <c r="H1019" s="1">
        <v>1800325.64</v>
      </c>
      <c r="I1019" s="1">
        <v>438</v>
      </c>
      <c r="J1019" s="1">
        <v>89</v>
      </c>
      <c r="K1019" s="1">
        <v>106553</v>
      </c>
      <c r="L1019" s="1" t="s">
        <v>30</v>
      </c>
      <c r="M1019" s="1" t="s">
        <v>20</v>
      </c>
      <c r="N1019" s="1">
        <v>3.1</v>
      </c>
    </row>
    <row r="1020" spans="1:14" x14ac:dyDescent="0.3">
      <c r="A1020" s="1" t="s">
        <v>2067</v>
      </c>
      <c r="B1020" s="1" t="s">
        <v>2068</v>
      </c>
      <c r="C1020" s="1">
        <v>27</v>
      </c>
      <c r="D1020" s="1" t="s">
        <v>16</v>
      </c>
      <c r="E1020" s="1" t="s">
        <v>45</v>
      </c>
      <c r="F1020" s="1" t="s">
        <v>81</v>
      </c>
      <c r="G1020" s="9">
        <v>105236.78</v>
      </c>
      <c r="H1020" s="1">
        <v>2442440.33</v>
      </c>
      <c r="I1020" s="1">
        <v>619</v>
      </c>
      <c r="J1020" s="1">
        <v>364</v>
      </c>
      <c r="K1020" s="1">
        <v>143337</v>
      </c>
      <c r="L1020" s="1" t="s">
        <v>19</v>
      </c>
      <c r="M1020" s="1" t="s">
        <v>20</v>
      </c>
      <c r="N1020" s="1">
        <v>1.8</v>
      </c>
    </row>
    <row r="1021" spans="1:14" x14ac:dyDescent="0.3">
      <c r="A1021" s="1" t="s">
        <v>2069</v>
      </c>
      <c r="B1021" s="1" t="s">
        <v>2070</v>
      </c>
      <c r="C1021" s="1">
        <v>57</v>
      </c>
      <c r="D1021" s="1" t="s">
        <v>16</v>
      </c>
      <c r="E1021" s="1" t="s">
        <v>24</v>
      </c>
      <c r="F1021" s="1" t="s">
        <v>81</v>
      </c>
      <c r="G1021" s="9">
        <v>893709.42</v>
      </c>
      <c r="H1021" s="1">
        <v>166930</v>
      </c>
      <c r="I1021" s="1">
        <v>872</v>
      </c>
      <c r="J1021" s="1">
        <v>457</v>
      </c>
      <c r="K1021" s="1">
        <v>142865</v>
      </c>
      <c r="L1021" s="1" t="s">
        <v>26</v>
      </c>
      <c r="M1021" s="1" t="s">
        <v>33</v>
      </c>
      <c r="N1021" s="1">
        <v>1.9</v>
      </c>
    </row>
    <row r="1022" spans="1:14" x14ac:dyDescent="0.3">
      <c r="A1022" s="1" t="s">
        <v>2071</v>
      </c>
      <c r="B1022" s="1" t="s">
        <v>2072</v>
      </c>
      <c r="C1022" s="1">
        <v>55</v>
      </c>
      <c r="D1022" s="1" t="s">
        <v>16</v>
      </c>
      <c r="E1022" s="1" t="s">
        <v>29</v>
      </c>
      <c r="F1022" s="1" t="s">
        <v>39</v>
      </c>
      <c r="G1022" s="9">
        <v>462096.73</v>
      </c>
      <c r="H1022" s="1">
        <v>1561252.34</v>
      </c>
      <c r="I1022" s="1">
        <v>712</v>
      </c>
      <c r="J1022" s="1">
        <v>483</v>
      </c>
      <c r="K1022" s="1">
        <v>211187</v>
      </c>
      <c r="L1022" s="1" t="s">
        <v>19</v>
      </c>
      <c r="M1022" s="1" t="s">
        <v>20</v>
      </c>
      <c r="N1022" s="1">
        <v>2</v>
      </c>
    </row>
    <row r="1023" spans="1:14" x14ac:dyDescent="0.3">
      <c r="A1023" s="1" t="s">
        <v>2073</v>
      </c>
      <c r="B1023" s="1" t="s">
        <v>2074</v>
      </c>
      <c r="C1023" s="1">
        <v>35</v>
      </c>
      <c r="D1023" s="1" t="s">
        <v>23</v>
      </c>
      <c r="E1023" s="1" t="s">
        <v>48</v>
      </c>
      <c r="F1023" s="1" t="s">
        <v>81</v>
      </c>
      <c r="G1023" s="9">
        <v>398091.74</v>
      </c>
      <c r="H1023" s="1">
        <v>255805.31</v>
      </c>
      <c r="I1023" s="1">
        <v>834</v>
      </c>
      <c r="J1023" s="1">
        <v>305</v>
      </c>
      <c r="K1023" s="1">
        <v>66746</v>
      </c>
      <c r="L1023" s="1" t="s">
        <v>30</v>
      </c>
      <c r="M1023" s="1" t="s">
        <v>20</v>
      </c>
      <c r="N1023" s="1">
        <v>3.6</v>
      </c>
    </row>
    <row r="1024" spans="1:14" x14ac:dyDescent="0.3">
      <c r="A1024" s="1" t="s">
        <v>2075</v>
      </c>
      <c r="B1024" s="1" t="s">
        <v>2076</v>
      </c>
      <c r="C1024" s="1">
        <v>28</v>
      </c>
      <c r="D1024" s="1" t="s">
        <v>16</v>
      </c>
      <c r="E1024" s="1" t="s">
        <v>38</v>
      </c>
      <c r="F1024" s="1" t="s">
        <v>39</v>
      </c>
      <c r="G1024" s="9">
        <v>1176130.55</v>
      </c>
      <c r="H1024" s="1">
        <v>2472718.06</v>
      </c>
      <c r="I1024" s="1">
        <v>393</v>
      </c>
      <c r="J1024" s="1">
        <v>480</v>
      </c>
      <c r="K1024" s="1">
        <v>20700</v>
      </c>
      <c r="L1024" s="1" t="s">
        <v>30</v>
      </c>
      <c r="M1024" s="1" t="s">
        <v>20</v>
      </c>
      <c r="N1024" s="1">
        <v>4.2</v>
      </c>
    </row>
    <row r="1025" spans="1:14" x14ac:dyDescent="0.3">
      <c r="A1025" s="1" t="s">
        <v>2077</v>
      </c>
      <c r="B1025" s="1" t="s">
        <v>2078</v>
      </c>
      <c r="C1025" s="1">
        <v>38</v>
      </c>
      <c r="D1025" s="1" t="s">
        <v>23</v>
      </c>
      <c r="E1025" s="1" t="s">
        <v>48</v>
      </c>
      <c r="F1025" s="1" t="s">
        <v>81</v>
      </c>
      <c r="G1025" s="9">
        <v>1344450.25</v>
      </c>
      <c r="H1025" s="1">
        <v>130472.97</v>
      </c>
      <c r="I1025" s="1">
        <v>823</v>
      </c>
      <c r="J1025" s="1">
        <v>418</v>
      </c>
      <c r="K1025" s="1">
        <v>40391</v>
      </c>
      <c r="L1025" s="1" t="s">
        <v>19</v>
      </c>
      <c r="M1025" s="1" t="s">
        <v>20</v>
      </c>
      <c r="N1025" s="1">
        <v>2.8</v>
      </c>
    </row>
    <row r="1026" spans="1:14" x14ac:dyDescent="0.3">
      <c r="A1026" s="1" t="s">
        <v>2079</v>
      </c>
      <c r="B1026" s="1" t="s">
        <v>2080</v>
      </c>
      <c r="C1026" s="1">
        <v>53</v>
      </c>
      <c r="D1026" s="1" t="s">
        <v>23</v>
      </c>
      <c r="E1026" s="1" t="s">
        <v>29</v>
      </c>
      <c r="F1026" s="1" t="s">
        <v>39</v>
      </c>
      <c r="G1026" s="9">
        <v>569077.78</v>
      </c>
      <c r="H1026" s="1">
        <v>963824.65</v>
      </c>
      <c r="I1026" s="1">
        <v>785</v>
      </c>
      <c r="J1026" s="1">
        <v>186</v>
      </c>
      <c r="K1026" s="1">
        <v>123087</v>
      </c>
      <c r="L1026" s="1" t="s">
        <v>40</v>
      </c>
      <c r="M1026" s="1" t="s">
        <v>33</v>
      </c>
      <c r="N1026" s="1">
        <v>2.2000000000000002</v>
      </c>
    </row>
    <row r="1027" spans="1:14" x14ac:dyDescent="0.3">
      <c r="A1027" s="1" t="s">
        <v>2081</v>
      </c>
      <c r="B1027" s="1" t="s">
        <v>2082</v>
      </c>
      <c r="C1027" s="1">
        <v>63</v>
      </c>
      <c r="D1027" s="1" t="s">
        <v>16</v>
      </c>
      <c r="E1027" s="1" t="s">
        <v>17</v>
      </c>
      <c r="F1027" s="1" t="s">
        <v>81</v>
      </c>
      <c r="G1027" s="9">
        <v>1260614.77</v>
      </c>
      <c r="H1027" s="1">
        <v>1401214.66</v>
      </c>
      <c r="I1027" s="1">
        <v>801</v>
      </c>
      <c r="J1027" s="1">
        <v>360</v>
      </c>
      <c r="K1027" s="1">
        <v>57456</v>
      </c>
      <c r="L1027" s="1" t="s">
        <v>40</v>
      </c>
      <c r="M1027" s="1" t="s">
        <v>20</v>
      </c>
      <c r="N1027" s="1">
        <v>4.2</v>
      </c>
    </row>
    <row r="1028" spans="1:14" x14ac:dyDescent="0.3">
      <c r="A1028" s="1" t="s">
        <v>2083</v>
      </c>
      <c r="B1028" s="1" t="s">
        <v>2084</v>
      </c>
      <c r="C1028" s="1">
        <v>41</v>
      </c>
      <c r="D1028" s="1" t="s">
        <v>16</v>
      </c>
      <c r="E1028" s="1" t="s">
        <v>17</v>
      </c>
      <c r="F1028" s="1" t="s">
        <v>81</v>
      </c>
      <c r="G1028" s="9">
        <v>701783.44</v>
      </c>
      <c r="H1028" s="1">
        <v>1675097.74</v>
      </c>
      <c r="I1028" s="1">
        <v>734</v>
      </c>
      <c r="J1028" s="1">
        <v>114</v>
      </c>
      <c r="K1028" s="1">
        <v>244230</v>
      </c>
      <c r="L1028" s="1" t="s">
        <v>40</v>
      </c>
      <c r="M1028" s="1" t="s">
        <v>20</v>
      </c>
      <c r="N1028" s="1">
        <v>3.5</v>
      </c>
    </row>
    <row r="1029" spans="1:14" x14ac:dyDescent="0.3">
      <c r="A1029" s="1" t="s">
        <v>2085</v>
      </c>
      <c r="B1029" s="1" t="s">
        <v>2086</v>
      </c>
      <c r="C1029" s="1">
        <v>30</v>
      </c>
      <c r="D1029" s="1" t="s">
        <v>23</v>
      </c>
      <c r="E1029" s="1" t="s">
        <v>55</v>
      </c>
      <c r="F1029" s="1" t="s">
        <v>18</v>
      </c>
      <c r="G1029" s="9">
        <v>544682.11</v>
      </c>
      <c r="H1029" s="1">
        <v>487221.52</v>
      </c>
      <c r="I1029" s="1">
        <v>900</v>
      </c>
      <c r="J1029" s="1">
        <v>163</v>
      </c>
      <c r="K1029" s="1">
        <v>135888</v>
      </c>
      <c r="L1029" s="1" t="s">
        <v>26</v>
      </c>
      <c r="M1029" s="1" t="s">
        <v>20</v>
      </c>
      <c r="N1029" s="1">
        <v>2.2999999999999998</v>
      </c>
    </row>
    <row r="1030" spans="1:14" x14ac:dyDescent="0.3">
      <c r="A1030" s="1" t="s">
        <v>2087</v>
      </c>
      <c r="B1030" s="1" t="s">
        <v>2088</v>
      </c>
      <c r="C1030" s="1">
        <v>59</v>
      </c>
      <c r="D1030" s="1" t="s">
        <v>16</v>
      </c>
      <c r="E1030" s="1" t="s">
        <v>45</v>
      </c>
      <c r="F1030" s="1" t="s">
        <v>25</v>
      </c>
      <c r="G1030" s="9">
        <v>964302.72</v>
      </c>
      <c r="H1030" s="1">
        <v>995735.01</v>
      </c>
      <c r="I1030" s="1">
        <v>559</v>
      </c>
      <c r="J1030" s="1">
        <v>145</v>
      </c>
      <c r="K1030" s="1">
        <v>92076</v>
      </c>
      <c r="L1030" s="1" t="s">
        <v>30</v>
      </c>
      <c r="M1030" s="1" t="s">
        <v>20</v>
      </c>
      <c r="N1030" s="1">
        <v>3.5</v>
      </c>
    </row>
    <row r="1031" spans="1:14" x14ac:dyDescent="0.3">
      <c r="A1031" s="1" t="s">
        <v>2089</v>
      </c>
      <c r="B1031" s="1" t="s">
        <v>2090</v>
      </c>
      <c r="C1031" s="1">
        <v>48</v>
      </c>
      <c r="D1031" s="1" t="s">
        <v>16</v>
      </c>
      <c r="E1031" s="1" t="s">
        <v>38</v>
      </c>
      <c r="F1031" s="1" t="s">
        <v>39</v>
      </c>
      <c r="G1031" s="9">
        <v>1313030.56</v>
      </c>
      <c r="H1031" s="1">
        <v>1876465.87</v>
      </c>
      <c r="I1031" s="1">
        <v>406</v>
      </c>
      <c r="J1031" s="1">
        <v>24</v>
      </c>
      <c r="K1031" s="1">
        <v>216591</v>
      </c>
      <c r="L1031" s="1" t="s">
        <v>19</v>
      </c>
      <c r="M1031" s="1" t="s">
        <v>33</v>
      </c>
      <c r="N1031" s="1">
        <v>2.5</v>
      </c>
    </row>
    <row r="1032" spans="1:14" x14ac:dyDescent="0.3">
      <c r="A1032" s="1" t="s">
        <v>2091</v>
      </c>
      <c r="B1032" s="1" t="s">
        <v>2092</v>
      </c>
      <c r="C1032" s="1">
        <v>25</v>
      </c>
      <c r="D1032" s="1" t="s">
        <v>23</v>
      </c>
      <c r="E1032" s="1" t="s">
        <v>24</v>
      </c>
      <c r="F1032" s="1" t="s">
        <v>18</v>
      </c>
      <c r="G1032" s="9">
        <v>667850.12</v>
      </c>
      <c r="H1032" s="1">
        <v>1776477.17</v>
      </c>
      <c r="I1032" s="1">
        <v>621</v>
      </c>
      <c r="J1032" s="1">
        <v>54</v>
      </c>
      <c r="K1032" s="1">
        <v>34692</v>
      </c>
      <c r="L1032" s="1" t="s">
        <v>26</v>
      </c>
      <c r="M1032" s="1" t="s">
        <v>33</v>
      </c>
      <c r="N1032" s="1">
        <v>4.4000000000000004</v>
      </c>
    </row>
    <row r="1033" spans="1:14" x14ac:dyDescent="0.3">
      <c r="A1033" s="1" t="s">
        <v>2093</v>
      </c>
      <c r="B1033" s="1" t="s">
        <v>2094</v>
      </c>
      <c r="C1033" s="1">
        <v>63</v>
      </c>
      <c r="D1033" s="1" t="s">
        <v>23</v>
      </c>
      <c r="E1033" s="1" t="s">
        <v>17</v>
      </c>
      <c r="F1033" s="1" t="s">
        <v>18</v>
      </c>
      <c r="G1033" s="9">
        <v>1359058.5</v>
      </c>
      <c r="H1033" s="1">
        <v>1467118.72</v>
      </c>
      <c r="I1033" s="1">
        <v>675</v>
      </c>
      <c r="J1033" s="1">
        <v>269</v>
      </c>
      <c r="K1033" s="1">
        <v>64358</v>
      </c>
      <c r="L1033" s="1" t="s">
        <v>19</v>
      </c>
      <c r="M1033" s="1" t="s">
        <v>20</v>
      </c>
      <c r="N1033" s="1">
        <v>1.1000000000000001</v>
      </c>
    </row>
    <row r="1034" spans="1:14" x14ac:dyDescent="0.3">
      <c r="A1034" s="1" t="s">
        <v>2095</v>
      </c>
      <c r="B1034" s="1" t="s">
        <v>2096</v>
      </c>
      <c r="C1034" s="1">
        <v>70</v>
      </c>
      <c r="D1034" s="1" t="s">
        <v>23</v>
      </c>
      <c r="E1034" s="1" t="s">
        <v>24</v>
      </c>
      <c r="F1034" s="1" t="s">
        <v>25</v>
      </c>
      <c r="G1034" s="9">
        <v>754780.91</v>
      </c>
      <c r="H1034" s="1">
        <v>1822392.67</v>
      </c>
      <c r="I1034" s="1">
        <v>385</v>
      </c>
      <c r="J1034" s="1">
        <v>93</v>
      </c>
      <c r="K1034" s="1">
        <v>219568</v>
      </c>
      <c r="L1034" s="1" t="s">
        <v>40</v>
      </c>
      <c r="M1034" s="1" t="s">
        <v>20</v>
      </c>
      <c r="N1034" s="1">
        <v>2.8</v>
      </c>
    </row>
    <row r="1035" spans="1:14" x14ac:dyDescent="0.3">
      <c r="A1035" s="1" t="s">
        <v>2097</v>
      </c>
      <c r="B1035" s="1" t="s">
        <v>2098</v>
      </c>
      <c r="C1035" s="1">
        <v>37</v>
      </c>
      <c r="D1035" s="1" t="s">
        <v>16</v>
      </c>
      <c r="E1035" s="1" t="s">
        <v>45</v>
      </c>
      <c r="F1035" s="1" t="s">
        <v>18</v>
      </c>
      <c r="G1035" s="9">
        <v>843036.28</v>
      </c>
      <c r="H1035" s="1">
        <v>294286.43</v>
      </c>
      <c r="I1035" s="1">
        <v>777</v>
      </c>
      <c r="J1035" s="1">
        <v>295</v>
      </c>
      <c r="K1035" s="1">
        <v>91765</v>
      </c>
      <c r="L1035" s="1" t="s">
        <v>19</v>
      </c>
      <c r="M1035" s="1" t="s">
        <v>20</v>
      </c>
      <c r="N1035" s="1">
        <v>4.3</v>
      </c>
    </row>
    <row r="1036" spans="1:14" x14ac:dyDescent="0.3">
      <c r="A1036" s="1" t="s">
        <v>2099</v>
      </c>
      <c r="B1036" s="1" t="s">
        <v>2100</v>
      </c>
      <c r="C1036" s="1">
        <v>29</v>
      </c>
      <c r="D1036" s="1" t="s">
        <v>16</v>
      </c>
      <c r="E1036" s="1" t="s">
        <v>24</v>
      </c>
      <c r="F1036" s="1" t="s">
        <v>81</v>
      </c>
      <c r="G1036" s="9">
        <v>134194.39000000001</v>
      </c>
      <c r="H1036" s="1">
        <v>793753.22</v>
      </c>
      <c r="I1036" s="1">
        <v>320</v>
      </c>
      <c r="J1036" s="1">
        <v>397</v>
      </c>
      <c r="K1036" s="1">
        <v>211247</v>
      </c>
      <c r="L1036" s="1" t="s">
        <v>30</v>
      </c>
      <c r="M1036" s="1" t="s">
        <v>20</v>
      </c>
      <c r="N1036" s="1">
        <v>1.7</v>
      </c>
    </row>
    <row r="1037" spans="1:14" x14ac:dyDescent="0.3">
      <c r="A1037" s="1" t="s">
        <v>2101</v>
      </c>
      <c r="B1037" s="1" t="s">
        <v>2102</v>
      </c>
      <c r="C1037" s="1">
        <v>64</v>
      </c>
      <c r="D1037" s="1" t="s">
        <v>16</v>
      </c>
      <c r="E1037" s="1" t="s">
        <v>55</v>
      </c>
      <c r="F1037" s="1" t="s">
        <v>18</v>
      </c>
      <c r="G1037" s="9">
        <v>465134.57</v>
      </c>
      <c r="H1037" s="1">
        <v>1702226.49</v>
      </c>
      <c r="I1037" s="1">
        <v>495</v>
      </c>
      <c r="J1037" s="1">
        <v>387</v>
      </c>
      <c r="K1037" s="1">
        <v>84679</v>
      </c>
      <c r="L1037" s="1" t="s">
        <v>30</v>
      </c>
      <c r="M1037" s="1" t="s">
        <v>33</v>
      </c>
      <c r="N1037" s="1">
        <v>4</v>
      </c>
    </row>
    <row r="1038" spans="1:14" x14ac:dyDescent="0.3">
      <c r="A1038" s="1" t="s">
        <v>2103</v>
      </c>
      <c r="B1038" s="1" t="s">
        <v>2104</v>
      </c>
      <c r="C1038" s="1">
        <v>29</v>
      </c>
      <c r="D1038" s="1" t="s">
        <v>16</v>
      </c>
      <c r="E1038" s="1" t="s">
        <v>38</v>
      </c>
      <c r="F1038" s="1" t="s">
        <v>81</v>
      </c>
      <c r="G1038" s="9">
        <v>214936.98</v>
      </c>
      <c r="H1038" s="1">
        <v>788852.45</v>
      </c>
      <c r="I1038" s="1">
        <v>531</v>
      </c>
      <c r="J1038" s="1">
        <v>432</v>
      </c>
      <c r="K1038" s="1">
        <v>93128</v>
      </c>
      <c r="L1038" s="1" t="s">
        <v>26</v>
      </c>
      <c r="M1038" s="1" t="s">
        <v>33</v>
      </c>
      <c r="N1038" s="1">
        <v>1.8</v>
      </c>
    </row>
    <row r="1039" spans="1:14" x14ac:dyDescent="0.3">
      <c r="A1039" s="1" t="s">
        <v>2105</v>
      </c>
      <c r="B1039" s="1" t="s">
        <v>2106</v>
      </c>
      <c r="C1039" s="1">
        <v>34</v>
      </c>
      <c r="D1039" s="1" t="s">
        <v>23</v>
      </c>
      <c r="E1039" s="1" t="s">
        <v>38</v>
      </c>
      <c r="F1039" s="1" t="s">
        <v>18</v>
      </c>
      <c r="G1039" s="9">
        <v>737379.06</v>
      </c>
      <c r="H1039" s="1">
        <v>1446740.41</v>
      </c>
      <c r="I1039" s="1">
        <v>657</v>
      </c>
      <c r="J1039" s="1">
        <v>400</v>
      </c>
      <c r="K1039" s="1">
        <v>44225</v>
      </c>
      <c r="L1039" s="1" t="s">
        <v>30</v>
      </c>
      <c r="M1039" s="1" t="s">
        <v>20</v>
      </c>
      <c r="N1039" s="1">
        <v>3.6</v>
      </c>
    </row>
    <row r="1040" spans="1:14" x14ac:dyDescent="0.3">
      <c r="A1040" s="1" t="s">
        <v>2107</v>
      </c>
      <c r="B1040" s="1" t="s">
        <v>2108</v>
      </c>
      <c r="C1040" s="1">
        <v>52</v>
      </c>
      <c r="D1040" s="1" t="s">
        <v>23</v>
      </c>
      <c r="E1040" s="1" t="s">
        <v>24</v>
      </c>
      <c r="F1040" s="1" t="s">
        <v>81</v>
      </c>
      <c r="G1040" s="9">
        <v>319940.88</v>
      </c>
      <c r="H1040" s="1">
        <v>1755468.67</v>
      </c>
      <c r="I1040" s="1">
        <v>655</v>
      </c>
      <c r="J1040" s="1">
        <v>335</v>
      </c>
      <c r="K1040" s="1">
        <v>169084</v>
      </c>
      <c r="L1040" s="1" t="s">
        <v>26</v>
      </c>
      <c r="M1040" s="1" t="s">
        <v>20</v>
      </c>
      <c r="N1040" s="1">
        <v>4.2</v>
      </c>
    </row>
    <row r="1041" spans="1:14" x14ac:dyDescent="0.3">
      <c r="A1041" s="1" t="s">
        <v>2109</v>
      </c>
      <c r="B1041" s="1" t="s">
        <v>2110</v>
      </c>
      <c r="C1041" s="1">
        <v>50</v>
      </c>
      <c r="D1041" s="1" t="s">
        <v>16</v>
      </c>
      <c r="E1041" s="1" t="s">
        <v>45</v>
      </c>
      <c r="F1041" s="1" t="s">
        <v>39</v>
      </c>
      <c r="G1041" s="9">
        <v>320029.37</v>
      </c>
      <c r="H1041" s="1">
        <v>545637.30000000005</v>
      </c>
      <c r="I1041" s="1">
        <v>567</v>
      </c>
      <c r="J1041" s="1">
        <v>21</v>
      </c>
      <c r="K1041" s="1">
        <v>222744</v>
      </c>
      <c r="L1041" s="1" t="s">
        <v>30</v>
      </c>
      <c r="M1041" s="1" t="s">
        <v>33</v>
      </c>
      <c r="N1041" s="1">
        <v>4.7</v>
      </c>
    </row>
    <row r="1042" spans="1:14" x14ac:dyDescent="0.3">
      <c r="A1042" s="1" t="s">
        <v>2111</v>
      </c>
      <c r="B1042" s="1" t="s">
        <v>2112</v>
      </c>
      <c r="C1042" s="1">
        <v>41</v>
      </c>
      <c r="D1042" s="1" t="s">
        <v>23</v>
      </c>
      <c r="E1042" s="1" t="s">
        <v>76</v>
      </c>
      <c r="F1042" s="1" t="s">
        <v>39</v>
      </c>
      <c r="G1042" s="9">
        <v>569975.68000000005</v>
      </c>
      <c r="H1042" s="1">
        <v>1470976.95</v>
      </c>
      <c r="I1042" s="1">
        <v>334</v>
      </c>
      <c r="J1042" s="1">
        <v>170</v>
      </c>
      <c r="K1042" s="1">
        <v>167788</v>
      </c>
      <c r="L1042" s="1" t="s">
        <v>30</v>
      </c>
      <c r="M1042" s="1" t="s">
        <v>33</v>
      </c>
      <c r="N1042" s="1">
        <v>3.8</v>
      </c>
    </row>
    <row r="1043" spans="1:14" x14ac:dyDescent="0.3">
      <c r="A1043" s="1" t="s">
        <v>2113</v>
      </c>
      <c r="B1043" s="1" t="s">
        <v>2114</v>
      </c>
      <c r="C1043" s="1">
        <v>39</v>
      </c>
      <c r="D1043" s="1" t="s">
        <v>16</v>
      </c>
      <c r="E1043" s="1" t="s">
        <v>76</v>
      </c>
      <c r="F1043" s="1" t="s">
        <v>25</v>
      </c>
      <c r="G1043" s="9">
        <v>973582.56</v>
      </c>
      <c r="H1043" s="1">
        <v>250519.22</v>
      </c>
      <c r="I1043" s="1">
        <v>666</v>
      </c>
      <c r="J1043" s="1">
        <v>161</v>
      </c>
      <c r="K1043" s="1">
        <v>108256</v>
      </c>
      <c r="L1043" s="1" t="s">
        <v>30</v>
      </c>
      <c r="M1043" s="1" t="s">
        <v>33</v>
      </c>
      <c r="N1043" s="1">
        <v>1.7</v>
      </c>
    </row>
    <row r="1044" spans="1:14" x14ac:dyDescent="0.3">
      <c r="A1044" s="1" t="s">
        <v>2115</v>
      </c>
      <c r="B1044" s="1" t="s">
        <v>2116</v>
      </c>
      <c r="C1044" s="1">
        <v>64</v>
      </c>
      <c r="D1044" s="1" t="s">
        <v>23</v>
      </c>
      <c r="E1044" s="1" t="s">
        <v>55</v>
      </c>
      <c r="F1044" s="1" t="s">
        <v>18</v>
      </c>
      <c r="G1044" s="9">
        <v>712990.25</v>
      </c>
      <c r="H1044" s="1">
        <v>608971.81000000006</v>
      </c>
      <c r="I1044" s="1">
        <v>682</v>
      </c>
      <c r="J1044" s="1">
        <v>312</v>
      </c>
      <c r="K1044" s="1">
        <v>124682</v>
      </c>
      <c r="L1044" s="1" t="s">
        <v>40</v>
      </c>
      <c r="M1044" s="1" t="s">
        <v>20</v>
      </c>
      <c r="N1044" s="1">
        <v>2.4</v>
      </c>
    </row>
    <row r="1045" spans="1:14" x14ac:dyDescent="0.3">
      <c r="A1045" s="1" t="s">
        <v>2117</v>
      </c>
      <c r="B1045" s="1" t="s">
        <v>2118</v>
      </c>
      <c r="C1045" s="1">
        <v>44</v>
      </c>
      <c r="D1045" s="1" t="s">
        <v>16</v>
      </c>
      <c r="E1045" s="1" t="s">
        <v>55</v>
      </c>
      <c r="F1045" s="1" t="s">
        <v>39</v>
      </c>
      <c r="G1045" s="9">
        <v>1162238.31</v>
      </c>
      <c r="H1045" s="1">
        <v>2384954.85</v>
      </c>
      <c r="I1045" s="1">
        <v>710</v>
      </c>
      <c r="J1045" s="1">
        <v>308</v>
      </c>
      <c r="K1045" s="1">
        <v>131645</v>
      </c>
      <c r="L1045" s="1" t="s">
        <v>40</v>
      </c>
      <c r="M1045" s="1" t="s">
        <v>20</v>
      </c>
      <c r="N1045" s="1">
        <v>1.1000000000000001</v>
      </c>
    </row>
    <row r="1046" spans="1:14" x14ac:dyDescent="0.3">
      <c r="A1046" s="1" t="s">
        <v>2119</v>
      </c>
      <c r="B1046" s="1" t="s">
        <v>2120</v>
      </c>
      <c r="C1046" s="1">
        <v>60</v>
      </c>
      <c r="D1046" s="1" t="s">
        <v>16</v>
      </c>
      <c r="E1046" s="1" t="s">
        <v>48</v>
      </c>
      <c r="F1046" s="1" t="s">
        <v>25</v>
      </c>
      <c r="G1046" s="9">
        <v>1183911.28</v>
      </c>
      <c r="H1046" s="1">
        <v>134500.25</v>
      </c>
      <c r="I1046" s="1">
        <v>392</v>
      </c>
      <c r="J1046" s="1">
        <v>163</v>
      </c>
      <c r="K1046" s="1">
        <v>107332</v>
      </c>
      <c r="L1046" s="1" t="s">
        <v>30</v>
      </c>
      <c r="M1046" s="1" t="s">
        <v>20</v>
      </c>
      <c r="N1046" s="1">
        <v>4.2</v>
      </c>
    </row>
    <row r="1047" spans="1:14" x14ac:dyDescent="0.3">
      <c r="A1047" s="1" t="s">
        <v>2121</v>
      </c>
      <c r="B1047" s="1" t="s">
        <v>2122</v>
      </c>
      <c r="C1047" s="1">
        <v>47</v>
      </c>
      <c r="D1047" s="1" t="s">
        <v>16</v>
      </c>
      <c r="E1047" s="1" t="s">
        <v>24</v>
      </c>
      <c r="F1047" s="1" t="s">
        <v>39</v>
      </c>
      <c r="G1047" s="9">
        <v>989619.86</v>
      </c>
      <c r="H1047" s="1">
        <v>501016.34</v>
      </c>
      <c r="I1047" s="1">
        <v>476</v>
      </c>
      <c r="J1047" s="1">
        <v>159</v>
      </c>
      <c r="K1047" s="1">
        <v>20221</v>
      </c>
      <c r="L1047" s="1" t="s">
        <v>30</v>
      </c>
      <c r="M1047" s="1" t="s">
        <v>20</v>
      </c>
      <c r="N1047" s="1">
        <v>2.2000000000000002</v>
      </c>
    </row>
    <row r="1048" spans="1:14" x14ac:dyDescent="0.3">
      <c r="A1048" s="1" t="s">
        <v>2123</v>
      </c>
      <c r="B1048" s="1" t="s">
        <v>2124</v>
      </c>
      <c r="C1048" s="1">
        <v>64</v>
      </c>
      <c r="D1048" s="1" t="s">
        <v>23</v>
      </c>
      <c r="E1048" s="1" t="s">
        <v>29</v>
      </c>
      <c r="F1048" s="1" t="s">
        <v>25</v>
      </c>
      <c r="G1048" s="9">
        <v>235436.22</v>
      </c>
      <c r="H1048" s="1">
        <v>1388370.58</v>
      </c>
      <c r="I1048" s="1">
        <v>683</v>
      </c>
      <c r="J1048" s="1">
        <v>7</v>
      </c>
      <c r="K1048" s="1">
        <v>84155</v>
      </c>
      <c r="L1048" s="1" t="s">
        <v>30</v>
      </c>
      <c r="M1048" s="1" t="s">
        <v>20</v>
      </c>
      <c r="N1048" s="1">
        <v>2.9</v>
      </c>
    </row>
    <row r="1049" spans="1:14" x14ac:dyDescent="0.3">
      <c r="A1049" s="1" t="s">
        <v>2125</v>
      </c>
      <c r="B1049" s="1" t="s">
        <v>2126</v>
      </c>
      <c r="C1049" s="1">
        <v>48</v>
      </c>
      <c r="D1049" s="1" t="s">
        <v>23</v>
      </c>
      <c r="E1049" s="1" t="s">
        <v>38</v>
      </c>
      <c r="F1049" s="1" t="s">
        <v>81</v>
      </c>
      <c r="G1049" s="9">
        <v>567555.91</v>
      </c>
      <c r="H1049" s="1">
        <v>1158709.97</v>
      </c>
      <c r="I1049" s="1">
        <v>548</v>
      </c>
      <c r="J1049" s="1">
        <v>395</v>
      </c>
      <c r="K1049" s="1">
        <v>195226</v>
      </c>
      <c r="L1049" s="1" t="s">
        <v>40</v>
      </c>
      <c r="M1049" s="1" t="s">
        <v>33</v>
      </c>
      <c r="N1049" s="1">
        <v>4.7</v>
      </c>
    </row>
    <row r="1050" spans="1:14" x14ac:dyDescent="0.3">
      <c r="A1050" s="1" t="s">
        <v>2127</v>
      </c>
      <c r="B1050" s="1" t="s">
        <v>2128</v>
      </c>
      <c r="C1050" s="1">
        <v>67</v>
      </c>
      <c r="D1050" s="1" t="s">
        <v>16</v>
      </c>
      <c r="E1050" s="1" t="s">
        <v>48</v>
      </c>
      <c r="F1050" s="1" t="s">
        <v>25</v>
      </c>
      <c r="G1050" s="9">
        <v>1347541.83</v>
      </c>
      <c r="H1050" s="1">
        <v>2049477.69</v>
      </c>
      <c r="I1050" s="1">
        <v>734</v>
      </c>
      <c r="J1050" s="1">
        <v>310</v>
      </c>
      <c r="K1050" s="1">
        <v>105750</v>
      </c>
      <c r="L1050" s="1" t="s">
        <v>19</v>
      </c>
      <c r="M1050" s="1" t="s">
        <v>20</v>
      </c>
      <c r="N1050" s="1">
        <v>2.6</v>
      </c>
    </row>
    <row r="1051" spans="1:14" x14ac:dyDescent="0.3">
      <c r="A1051" s="1" t="s">
        <v>2129</v>
      </c>
      <c r="B1051" s="1" t="s">
        <v>2130</v>
      </c>
      <c r="C1051" s="1">
        <v>56</v>
      </c>
      <c r="D1051" s="1" t="s">
        <v>23</v>
      </c>
      <c r="E1051" s="1" t="s">
        <v>29</v>
      </c>
      <c r="F1051" s="1" t="s">
        <v>39</v>
      </c>
      <c r="G1051" s="9">
        <v>1152926.67</v>
      </c>
      <c r="H1051" s="1">
        <v>922831.42</v>
      </c>
      <c r="I1051" s="1">
        <v>648</v>
      </c>
      <c r="J1051" s="1">
        <v>261</v>
      </c>
      <c r="K1051" s="1">
        <v>66703</v>
      </c>
      <c r="L1051" s="1" t="s">
        <v>40</v>
      </c>
      <c r="M1051" s="1" t="s">
        <v>33</v>
      </c>
      <c r="N1051" s="1">
        <v>4.3</v>
      </c>
    </row>
    <row r="1052" spans="1:14" x14ac:dyDescent="0.3">
      <c r="A1052" s="1" t="s">
        <v>2131</v>
      </c>
      <c r="B1052" s="1" t="s">
        <v>2132</v>
      </c>
      <c r="C1052" s="1">
        <v>30</v>
      </c>
      <c r="D1052" s="1" t="s">
        <v>23</v>
      </c>
      <c r="E1052" s="1" t="s">
        <v>38</v>
      </c>
      <c r="F1052" s="1" t="s">
        <v>81</v>
      </c>
      <c r="G1052" s="9">
        <v>320792.34999999998</v>
      </c>
      <c r="H1052" s="1">
        <v>1088501.57</v>
      </c>
      <c r="I1052" s="1">
        <v>647</v>
      </c>
      <c r="J1052" s="1">
        <v>201</v>
      </c>
      <c r="K1052" s="1">
        <v>31599</v>
      </c>
      <c r="L1052" s="1" t="s">
        <v>26</v>
      </c>
      <c r="M1052" s="1" t="s">
        <v>33</v>
      </c>
      <c r="N1052" s="1">
        <v>3.6</v>
      </c>
    </row>
    <row r="1053" spans="1:14" x14ac:dyDescent="0.3">
      <c r="A1053" s="1" t="s">
        <v>2133</v>
      </c>
      <c r="B1053" s="1" t="s">
        <v>2134</v>
      </c>
      <c r="C1053" s="1">
        <v>61</v>
      </c>
      <c r="D1053" s="1" t="s">
        <v>16</v>
      </c>
      <c r="E1053" s="1" t="s">
        <v>45</v>
      </c>
      <c r="F1053" s="1" t="s">
        <v>18</v>
      </c>
      <c r="G1053" s="9">
        <v>723574.83</v>
      </c>
      <c r="H1053" s="1">
        <v>652548.74</v>
      </c>
      <c r="I1053" s="1">
        <v>731</v>
      </c>
      <c r="J1053" s="1">
        <v>96</v>
      </c>
      <c r="K1053" s="1">
        <v>235292</v>
      </c>
      <c r="L1053" s="1" t="s">
        <v>26</v>
      </c>
      <c r="M1053" s="1" t="s">
        <v>20</v>
      </c>
      <c r="N1053" s="1">
        <v>1.7</v>
      </c>
    </row>
    <row r="1054" spans="1:14" x14ac:dyDescent="0.3">
      <c r="A1054" s="1" t="s">
        <v>2135</v>
      </c>
      <c r="B1054" s="1" t="s">
        <v>2136</v>
      </c>
      <c r="C1054" s="1">
        <v>59</v>
      </c>
      <c r="D1054" s="1" t="s">
        <v>23</v>
      </c>
      <c r="E1054" s="1" t="s">
        <v>45</v>
      </c>
      <c r="F1054" s="1" t="s">
        <v>18</v>
      </c>
      <c r="G1054" s="9">
        <v>609687.96</v>
      </c>
      <c r="H1054" s="1">
        <v>2017289.05</v>
      </c>
      <c r="I1054" s="1">
        <v>464</v>
      </c>
      <c r="J1054" s="1">
        <v>168</v>
      </c>
      <c r="K1054" s="1">
        <v>246090</v>
      </c>
      <c r="L1054" s="1" t="s">
        <v>30</v>
      </c>
      <c r="M1054" s="1" t="s">
        <v>33</v>
      </c>
      <c r="N1054" s="1">
        <v>1.5</v>
      </c>
    </row>
    <row r="1055" spans="1:14" x14ac:dyDescent="0.3">
      <c r="A1055" s="1" t="s">
        <v>2137</v>
      </c>
      <c r="B1055" s="1" t="s">
        <v>2138</v>
      </c>
      <c r="C1055" s="1">
        <v>45</v>
      </c>
      <c r="D1055" s="1" t="s">
        <v>23</v>
      </c>
      <c r="E1055" s="1" t="s">
        <v>48</v>
      </c>
      <c r="F1055" s="1" t="s">
        <v>25</v>
      </c>
      <c r="G1055" s="9">
        <v>86494.38</v>
      </c>
      <c r="H1055" s="1">
        <v>1062453</v>
      </c>
      <c r="I1055" s="1">
        <v>418</v>
      </c>
      <c r="J1055" s="1">
        <v>314</v>
      </c>
      <c r="K1055" s="1">
        <v>222207</v>
      </c>
      <c r="L1055" s="1" t="s">
        <v>26</v>
      </c>
      <c r="M1055" s="1" t="s">
        <v>33</v>
      </c>
      <c r="N1055" s="1">
        <v>4.2</v>
      </c>
    </row>
    <row r="1056" spans="1:14" x14ac:dyDescent="0.3">
      <c r="A1056" s="1" t="s">
        <v>2139</v>
      </c>
      <c r="B1056" s="1" t="s">
        <v>2140</v>
      </c>
      <c r="C1056" s="1">
        <v>25</v>
      </c>
      <c r="D1056" s="1" t="s">
        <v>16</v>
      </c>
      <c r="E1056" s="1" t="s">
        <v>76</v>
      </c>
      <c r="F1056" s="1" t="s">
        <v>81</v>
      </c>
      <c r="G1056" s="9">
        <v>272365.15000000002</v>
      </c>
      <c r="H1056" s="1">
        <v>1060162.81</v>
      </c>
      <c r="I1056" s="1">
        <v>692</v>
      </c>
      <c r="J1056" s="1">
        <v>450</v>
      </c>
      <c r="K1056" s="1">
        <v>225912</v>
      </c>
      <c r="L1056" s="1" t="s">
        <v>26</v>
      </c>
      <c r="M1056" s="1" t="s">
        <v>20</v>
      </c>
      <c r="N1056" s="1">
        <v>3.7</v>
      </c>
    </row>
    <row r="1057" spans="1:14" x14ac:dyDescent="0.3">
      <c r="A1057" s="1" t="s">
        <v>2141</v>
      </c>
      <c r="B1057" s="1" t="s">
        <v>2142</v>
      </c>
      <c r="C1057" s="1">
        <v>50</v>
      </c>
      <c r="D1057" s="1" t="s">
        <v>16</v>
      </c>
      <c r="E1057" s="1" t="s">
        <v>29</v>
      </c>
      <c r="F1057" s="1" t="s">
        <v>25</v>
      </c>
      <c r="G1057" s="9">
        <v>923707.57</v>
      </c>
      <c r="H1057" s="1">
        <v>2180512.98</v>
      </c>
      <c r="I1057" s="1">
        <v>745</v>
      </c>
      <c r="J1057" s="1">
        <v>29</v>
      </c>
      <c r="K1057" s="1">
        <v>233079</v>
      </c>
      <c r="L1057" s="1" t="s">
        <v>30</v>
      </c>
      <c r="M1057" s="1" t="s">
        <v>33</v>
      </c>
      <c r="N1057" s="1">
        <v>2.9</v>
      </c>
    </row>
    <row r="1058" spans="1:14" x14ac:dyDescent="0.3">
      <c r="A1058" s="1" t="s">
        <v>2143</v>
      </c>
      <c r="B1058" s="1" t="s">
        <v>2144</v>
      </c>
      <c r="C1058" s="1">
        <v>21</v>
      </c>
      <c r="D1058" s="1" t="s">
        <v>16</v>
      </c>
      <c r="E1058" s="1" t="s">
        <v>55</v>
      </c>
      <c r="F1058" s="1" t="s">
        <v>39</v>
      </c>
      <c r="G1058" s="9">
        <v>1031149.52</v>
      </c>
      <c r="H1058" s="1">
        <v>630817.01</v>
      </c>
      <c r="I1058" s="1">
        <v>645</v>
      </c>
      <c r="J1058" s="1">
        <v>350</v>
      </c>
      <c r="K1058" s="1">
        <v>177110</v>
      </c>
      <c r="L1058" s="1" t="s">
        <v>26</v>
      </c>
      <c r="M1058" s="1" t="s">
        <v>33</v>
      </c>
      <c r="N1058" s="1">
        <v>2.2000000000000002</v>
      </c>
    </row>
    <row r="1059" spans="1:14" x14ac:dyDescent="0.3">
      <c r="A1059" s="1" t="s">
        <v>2145</v>
      </c>
      <c r="B1059" s="1" t="s">
        <v>2146</v>
      </c>
      <c r="C1059" s="1">
        <v>44</v>
      </c>
      <c r="D1059" s="1" t="s">
        <v>16</v>
      </c>
      <c r="E1059" s="1" t="s">
        <v>17</v>
      </c>
      <c r="F1059" s="1" t="s">
        <v>39</v>
      </c>
      <c r="G1059" s="9">
        <v>672921.37</v>
      </c>
      <c r="H1059" s="1">
        <v>744208.37</v>
      </c>
      <c r="I1059" s="1">
        <v>336</v>
      </c>
      <c r="J1059" s="1">
        <v>310</v>
      </c>
      <c r="K1059" s="1">
        <v>24592</v>
      </c>
      <c r="L1059" s="1" t="s">
        <v>40</v>
      </c>
      <c r="M1059" s="1" t="s">
        <v>20</v>
      </c>
      <c r="N1059" s="1">
        <v>1.4</v>
      </c>
    </row>
    <row r="1060" spans="1:14" x14ac:dyDescent="0.3">
      <c r="A1060" s="1" t="s">
        <v>2147</v>
      </c>
      <c r="B1060" s="1" t="s">
        <v>2148</v>
      </c>
      <c r="C1060" s="1">
        <v>52</v>
      </c>
      <c r="D1060" s="1" t="s">
        <v>23</v>
      </c>
      <c r="E1060" s="1" t="s">
        <v>45</v>
      </c>
      <c r="F1060" s="1" t="s">
        <v>39</v>
      </c>
      <c r="G1060" s="9">
        <v>193451.67</v>
      </c>
      <c r="H1060" s="1">
        <v>361610.79</v>
      </c>
      <c r="I1060" s="1">
        <v>805</v>
      </c>
      <c r="J1060" s="1">
        <v>225</v>
      </c>
      <c r="K1060" s="1">
        <v>44791</v>
      </c>
      <c r="L1060" s="1" t="s">
        <v>30</v>
      </c>
      <c r="M1060" s="1" t="s">
        <v>20</v>
      </c>
      <c r="N1060" s="1">
        <v>4.5999999999999996</v>
      </c>
    </row>
    <row r="1061" spans="1:14" x14ac:dyDescent="0.3">
      <c r="A1061" s="1" t="s">
        <v>2149</v>
      </c>
      <c r="B1061" s="1" t="s">
        <v>2150</v>
      </c>
      <c r="C1061" s="1">
        <v>22</v>
      </c>
      <c r="D1061" s="1" t="s">
        <v>16</v>
      </c>
      <c r="E1061" s="1" t="s">
        <v>48</v>
      </c>
      <c r="F1061" s="1" t="s">
        <v>81</v>
      </c>
      <c r="G1061" s="9">
        <v>562329.02</v>
      </c>
      <c r="H1061" s="1">
        <v>366876.12</v>
      </c>
      <c r="I1061" s="1">
        <v>403</v>
      </c>
      <c r="J1061" s="1">
        <v>200</v>
      </c>
      <c r="K1061" s="1">
        <v>105613</v>
      </c>
      <c r="L1061" s="1" t="s">
        <v>30</v>
      </c>
      <c r="M1061" s="1" t="s">
        <v>33</v>
      </c>
      <c r="N1061" s="1">
        <v>3.1</v>
      </c>
    </row>
    <row r="1062" spans="1:14" x14ac:dyDescent="0.3">
      <c r="A1062" s="1" t="s">
        <v>2151</v>
      </c>
      <c r="B1062" s="1" t="s">
        <v>2152</v>
      </c>
      <c r="C1062" s="1">
        <v>19</v>
      </c>
      <c r="D1062" s="1" t="s">
        <v>16</v>
      </c>
      <c r="E1062" s="1" t="s">
        <v>24</v>
      </c>
      <c r="F1062" s="1" t="s">
        <v>81</v>
      </c>
      <c r="G1062" s="9">
        <v>1425786.53</v>
      </c>
      <c r="H1062" s="1">
        <v>642145.01</v>
      </c>
      <c r="I1062" s="1">
        <v>381</v>
      </c>
      <c r="J1062" s="1">
        <v>433</v>
      </c>
      <c r="K1062" s="1">
        <v>68216</v>
      </c>
      <c r="L1062" s="1" t="s">
        <v>26</v>
      </c>
      <c r="M1062" s="1" t="s">
        <v>20</v>
      </c>
      <c r="N1062" s="1">
        <v>4.5999999999999996</v>
      </c>
    </row>
    <row r="1063" spans="1:14" x14ac:dyDescent="0.3">
      <c r="A1063" s="1" t="s">
        <v>2153</v>
      </c>
      <c r="B1063" s="1" t="s">
        <v>2154</v>
      </c>
      <c r="C1063" s="1">
        <v>62</v>
      </c>
      <c r="D1063" s="1" t="s">
        <v>23</v>
      </c>
      <c r="E1063" s="1" t="s">
        <v>38</v>
      </c>
      <c r="F1063" s="1" t="s">
        <v>81</v>
      </c>
      <c r="G1063" s="9">
        <v>78002.67</v>
      </c>
      <c r="H1063" s="1">
        <v>1433340.04</v>
      </c>
      <c r="I1063" s="1">
        <v>520</v>
      </c>
      <c r="J1063" s="1">
        <v>394</v>
      </c>
      <c r="K1063" s="1">
        <v>229441</v>
      </c>
      <c r="L1063" s="1" t="s">
        <v>19</v>
      </c>
      <c r="M1063" s="1" t="s">
        <v>33</v>
      </c>
      <c r="N1063" s="1">
        <v>4.7</v>
      </c>
    </row>
    <row r="1064" spans="1:14" x14ac:dyDescent="0.3">
      <c r="A1064" s="1" t="s">
        <v>2155</v>
      </c>
      <c r="B1064" s="1" t="s">
        <v>2156</v>
      </c>
      <c r="C1064" s="1">
        <v>29</v>
      </c>
      <c r="D1064" s="1" t="s">
        <v>16</v>
      </c>
      <c r="E1064" s="1" t="s">
        <v>55</v>
      </c>
      <c r="F1064" s="1" t="s">
        <v>81</v>
      </c>
      <c r="G1064" s="9">
        <v>430944.2</v>
      </c>
      <c r="H1064" s="1">
        <v>12627.62</v>
      </c>
      <c r="I1064" s="1">
        <v>512</v>
      </c>
      <c r="J1064" s="1">
        <v>14</v>
      </c>
      <c r="K1064" s="1">
        <v>197788</v>
      </c>
      <c r="L1064" s="1" t="s">
        <v>30</v>
      </c>
      <c r="M1064" s="1" t="s">
        <v>33</v>
      </c>
      <c r="N1064" s="1">
        <v>4.0999999999999996</v>
      </c>
    </row>
    <row r="1065" spans="1:14" x14ac:dyDescent="0.3">
      <c r="A1065" s="1" t="s">
        <v>2157</v>
      </c>
      <c r="B1065" s="1" t="s">
        <v>2158</v>
      </c>
      <c r="C1065" s="1">
        <v>24</v>
      </c>
      <c r="D1065" s="1" t="s">
        <v>23</v>
      </c>
      <c r="E1065" s="1" t="s">
        <v>17</v>
      </c>
      <c r="F1065" s="1" t="s">
        <v>81</v>
      </c>
      <c r="G1065" s="9">
        <v>341113.03</v>
      </c>
      <c r="H1065" s="1">
        <v>1772521.27</v>
      </c>
      <c r="I1065" s="1">
        <v>526</v>
      </c>
      <c r="J1065" s="1">
        <v>37</v>
      </c>
      <c r="K1065" s="1">
        <v>78018</v>
      </c>
      <c r="L1065" s="1" t="s">
        <v>30</v>
      </c>
      <c r="M1065" s="1" t="s">
        <v>33</v>
      </c>
      <c r="N1065" s="1">
        <v>3.4</v>
      </c>
    </row>
    <row r="1066" spans="1:14" x14ac:dyDescent="0.3">
      <c r="A1066" s="1" t="s">
        <v>2159</v>
      </c>
      <c r="B1066" s="1" t="s">
        <v>2160</v>
      </c>
      <c r="C1066" s="1">
        <v>53</v>
      </c>
      <c r="D1066" s="1" t="s">
        <v>23</v>
      </c>
      <c r="E1066" s="1" t="s">
        <v>24</v>
      </c>
      <c r="F1066" s="1" t="s">
        <v>39</v>
      </c>
      <c r="G1066" s="9">
        <v>517711.33</v>
      </c>
      <c r="H1066" s="1">
        <v>799107.02</v>
      </c>
      <c r="I1066" s="1">
        <v>755</v>
      </c>
      <c r="J1066" s="1">
        <v>82</v>
      </c>
      <c r="K1066" s="1">
        <v>23294</v>
      </c>
      <c r="L1066" s="1" t="s">
        <v>30</v>
      </c>
      <c r="M1066" s="1" t="s">
        <v>33</v>
      </c>
      <c r="N1066" s="1">
        <v>2.8</v>
      </c>
    </row>
    <row r="1067" spans="1:14" x14ac:dyDescent="0.3">
      <c r="A1067" s="1" t="s">
        <v>2161</v>
      </c>
      <c r="B1067" s="1" t="s">
        <v>2162</v>
      </c>
      <c r="C1067" s="1">
        <v>43</v>
      </c>
      <c r="D1067" s="1" t="s">
        <v>23</v>
      </c>
      <c r="E1067" s="1" t="s">
        <v>29</v>
      </c>
      <c r="F1067" s="1" t="s">
        <v>39</v>
      </c>
      <c r="G1067" s="9">
        <v>992744.25</v>
      </c>
      <c r="H1067" s="1">
        <v>1428283.23</v>
      </c>
      <c r="I1067" s="1">
        <v>380</v>
      </c>
      <c r="J1067" s="1">
        <v>328</v>
      </c>
      <c r="K1067" s="1">
        <v>28458</v>
      </c>
      <c r="L1067" s="1" t="s">
        <v>26</v>
      </c>
      <c r="M1067" s="1" t="s">
        <v>33</v>
      </c>
      <c r="N1067" s="1">
        <v>2.9</v>
      </c>
    </row>
    <row r="1068" spans="1:14" x14ac:dyDescent="0.3">
      <c r="A1068" s="1" t="s">
        <v>2163</v>
      </c>
      <c r="B1068" s="1" t="s">
        <v>2164</v>
      </c>
      <c r="C1068" s="1">
        <v>36</v>
      </c>
      <c r="D1068" s="1" t="s">
        <v>16</v>
      </c>
      <c r="E1068" s="1" t="s">
        <v>48</v>
      </c>
      <c r="F1068" s="1" t="s">
        <v>25</v>
      </c>
      <c r="G1068" s="9">
        <v>476430.44</v>
      </c>
      <c r="H1068" s="1">
        <v>1686253.43</v>
      </c>
      <c r="I1068" s="1">
        <v>330</v>
      </c>
      <c r="J1068" s="1">
        <v>84</v>
      </c>
      <c r="K1068" s="1">
        <v>216832</v>
      </c>
      <c r="L1068" s="1" t="s">
        <v>30</v>
      </c>
      <c r="M1068" s="1" t="s">
        <v>20</v>
      </c>
      <c r="N1068" s="1">
        <v>3.5</v>
      </c>
    </row>
    <row r="1069" spans="1:14" x14ac:dyDescent="0.3">
      <c r="A1069" s="1" t="s">
        <v>2165</v>
      </c>
      <c r="B1069" s="1" t="s">
        <v>2166</v>
      </c>
      <c r="C1069" s="1">
        <v>66</v>
      </c>
      <c r="D1069" s="1" t="s">
        <v>16</v>
      </c>
      <c r="E1069" s="1" t="s">
        <v>17</v>
      </c>
      <c r="F1069" s="1" t="s">
        <v>18</v>
      </c>
      <c r="G1069" s="9">
        <v>836877.03</v>
      </c>
      <c r="H1069" s="1">
        <v>1226892.19</v>
      </c>
      <c r="I1069" s="1">
        <v>540</v>
      </c>
      <c r="J1069" s="1">
        <v>197</v>
      </c>
      <c r="K1069" s="1">
        <v>94419</v>
      </c>
      <c r="L1069" s="1" t="s">
        <v>19</v>
      </c>
      <c r="M1069" s="1" t="s">
        <v>33</v>
      </c>
      <c r="N1069" s="1">
        <v>4.7</v>
      </c>
    </row>
    <row r="1070" spans="1:14" x14ac:dyDescent="0.3">
      <c r="A1070" s="1" t="s">
        <v>2167</v>
      </c>
      <c r="B1070" s="1" t="s">
        <v>2168</v>
      </c>
      <c r="C1070" s="1">
        <v>31</v>
      </c>
      <c r="D1070" s="1" t="s">
        <v>23</v>
      </c>
      <c r="E1070" s="1" t="s">
        <v>17</v>
      </c>
      <c r="F1070" s="1" t="s">
        <v>81</v>
      </c>
      <c r="G1070" s="9">
        <v>1488235.7</v>
      </c>
      <c r="H1070" s="1">
        <v>1426862.54</v>
      </c>
      <c r="I1070" s="1">
        <v>482</v>
      </c>
      <c r="J1070" s="1">
        <v>447</v>
      </c>
      <c r="K1070" s="1">
        <v>75392</v>
      </c>
      <c r="L1070" s="1" t="s">
        <v>40</v>
      </c>
      <c r="M1070" s="1" t="s">
        <v>33</v>
      </c>
      <c r="N1070" s="1">
        <v>1.6</v>
      </c>
    </row>
    <row r="1071" spans="1:14" x14ac:dyDescent="0.3">
      <c r="A1071" s="1" t="s">
        <v>2169</v>
      </c>
      <c r="B1071" s="1" t="s">
        <v>2170</v>
      </c>
      <c r="C1071" s="1">
        <v>56</v>
      </c>
      <c r="D1071" s="1" t="s">
        <v>23</v>
      </c>
      <c r="E1071" s="1" t="s">
        <v>17</v>
      </c>
      <c r="F1071" s="1" t="s">
        <v>39</v>
      </c>
      <c r="G1071" s="9">
        <v>482508.23</v>
      </c>
      <c r="H1071" s="1">
        <v>907936.7</v>
      </c>
      <c r="I1071" s="1">
        <v>408</v>
      </c>
      <c r="J1071" s="1">
        <v>345</v>
      </c>
      <c r="K1071" s="1">
        <v>93106</v>
      </c>
      <c r="L1071" s="1" t="s">
        <v>30</v>
      </c>
      <c r="M1071" s="1" t="s">
        <v>33</v>
      </c>
      <c r="N1071" s="1">
        <v>4.5</v>
      </c>
    </row>
    <row r="1072" spans="1:14" x14ac:dyDescent="0.3">
      <c r="A1072" s="1" t="s">
        <v>2171</v>
      </c>
      <c r="B1072" s="1" t="s">
        <v>2172</v>
      </c>
      <c r="C1072" s="1">
        <v>66</v>
      </c>
      <c r="D1072" s="1" t="s">
        <v>23</v>
      </c>
      <c r="E1072" s="1" t="s">
        <v>55</v>
      </c>
      <c r="F1072" s="1" t="s">
        <v>18</v>
      </c>
      <c r="G1072" s="9">
        <v>432993.72</v>
      </c>
      <c r="H1072" s="1">
        <v>2311375.8199999998</v>
      </c>
      <c r="I1072" s="1">
        <v>460</v>
      </c>
      <c r="J1072" s="1">
        <v>478</v>
      </c>
      <c r="K1072" s="1">
        <v>141612</v>
      </c>
      <c r="L1072" s="1" t="s">
        <v>26</v>
      </c>
      <c r="M1072" s="1" t="s">
        <v>33</v>
      </c>
      <c r="N1072" s="1">
        <v>4.5</v>
      </c>
    </row>
    <row r="1073" spans="1:14" x14ac:dyDescent="0.3">
      <c r="A1073" s="1" t="s">
        <v>2173</v>
      </c>
      <c r="B1073" s="1" t="s">
        <v>2174</v>
      </c>
      <c r="C1073" s="1">
        <v>59</v>
      </c>
      <c r="D1073" s="1" t="s">
        <v>23</v>
      </c>
      <c r="E1073" s="1" t="s">
        <v>17</v>
      </c>
      <c r="F1073" s="1" t="s">
        <v>39</v>
      </c>
      <c r="G1073" s="9">
        <v>1026610.91</v>
      </c>
      <c r="H1073" s="1">
        <v>245807.72</v>
      </c>
      <c r="I1073" s="1">
        <v>894</v>
      </c>
      <c r="J1073" s="1">
        <v>339</v>
      </c>
      <c r="K1073" s="1">
        <v>65159</v>
      </c>
      <c r="L1073" s="1" t="s">
        <v>19</v>
      </c>
      <c r="M1073" s="1" t="s">
        <v>20</v>
      </c>
      <c r="N1073" s="1">
        <v>2.7</v>
      </c>
    </row>
    <row r="1074" spans="1:14" x14ac:dyDescent="0.3">
      <c r="A1074" s="1" t="s">
        <v>2175</v>
      </c>
      <c r="B1074" s="1" t="s">
        <v>2176</v>
      </c>
      <c r="C1074" s="1">
        <v>26</v>
      </c>
      <c r="D1074" s="1" t="s">
        <v>16</v>
      </c>
      <c r="E1074" s="1" t="s">
        <v>48</v>
      </c>
      <c r="F1074" s="1" t="s">
        <v>39</v>
      </c>
      <c r="G1074" s="9">
        <v>931780.84</v>
      </c>
      <c r="H1074" s="1">
        <v>2497274.71</v>
      </c>
      <c r="I1074" s="1">
        <v>884</v>
      </c>
      <c r="J1074" s="1">
        <v>379</v>
      </c>
      <c r="K1074" s="1">
        <v>179830</v>
      </c>
      <c r="L1074" s="1" t="s">
        <v>40</v>
      </c>
      <c r="M1074" s="1" t="s">
        <v>33</v>
      </c>
      <c r="N1074" s="1">
        <v>2.6</v>
      </c>
    </row>
    <row r="1075" spans="1:14" x14ac:dyDescent="0.3">
      <c r="A1075" s="1" t="s">
        <v>2177</v>
      </c>
      <c r="B1075" s="1" t="s">
        <v>2178</v>
      </c>
      <c r="C1075" s="1">
        <v>61</v>
      </c>
      <c r="D1075" s="1" t="s">
        <v>16</v>
      </c>
      <c r="E1075" s="1" t="s">
        <v>38</v>
      </c>
      <c r="F1075" s="1" t="s">
        <v>25</v>
      </c>
      <c r="G1075" s="9">
        <v>1428009.89</v>
      </c>
      <c r="H1075" s="1">
        <v>56798.79</v>
      </c>
      <c r="I1075" s="1">
        <v>698</v>
      </c>
      <c r="J1075" s="1">
        <v>287</v>
      </c>
      <c r="K1075" s="1">
        <v>43846</v>
      </c>
      <c r="L1075" s="1" t="s">
        <v>26</v>
      </c>
      <c r="M1075" s="1" t="s">
        <v>20</v>
      </c>
      <c r="N1075" s="1">
        <v>3</v>
      </c>
    </row>
    <row r="1076" spans="1:14" x14ac:dyDescent="0.3">
      <c r="A1076" s="1" t="s">
        <v>2179</v>
      </c>
      <c r="B1076" s="1" t="s">
        <v>2180</v>
      </c>
      <c r="C1076" s="1">
        <v>29</v>
      </c>
      <c r="D1076" s="1" t="s">
        <v>16</v>
      </c>
      <c r="E1076" s="1" t="s">
        <v>24</v>
      </c>
      <c r="F1076" s="1" t="s">
        <v>25</v>
      </c>
      <c r="G1076" s="9">
        <v>1406025.63</v>
      </c>
      <c r="H1076" s="1">
        <v>2303464.21</v>
      </c>
      <c r="I1076" s="1">
        <v>630</v>
      </c>
      <c r="J1076" s="1">
        <v>72</v>
      </c>
      <c r="K1076" s="1">
        <v>143776</v>
      </c>
      <c r="L1076" s="1" t="s">
        <v>30</v>
      </c>
      <c r="M1076" s="1" t="s">
        <v>20</v>
      </c>
      <c r="N1076" s="1">
        <v>2.2000000000000002</v>
      </c>
    </row>
    <row r="1077" spans="1:14" x14ac:dyDescent="0.3">
      <c r="A1077" s="1" t="s">
        <v>2181</v>
      </c>
      <c r="B1077" s="1" t="s">
        <v>133</v>
      </c>
      <c r="C1077" s="1">
        <v>61</v>
      </c>
      <c r="D1077" s="1" t="s">
        <v>16</v>
      </c>
      <c r="E1077" s="1" t="s">
        <v>48</v>
      </c>
      <c r="F1077" s="1" t="s">
        <v>39</v>
      </c>
      <c r="G1077" s="9">
        <v>668261.53</v>
      </c>
      <c r="H1077" s="1">
        <v>604709.12</v>
      </c>
      <c r="I1077" s="1">
        <v>481</v>
      </c>
      <c r="J1077" s="1">
        <v>241</v>
      </c>
      <c r="K1077" s="1">
        <v>178138</v>
      </c>
      <c r="L1077" s="1" t="s">
        <v>40</v>
      </c>
      <c r="M1077" s="1" t="s">
        <v>33</v>
      </c>
      <c r="N1077" s="1">
        <v>3</v>
      </c>
    </row>
    <row r="1078" spans="1:14" x14ac:dyDescent="0.3">
      <c r="A1078" s="1" t="s">
        <v>2182</v>
      </c>
      <c r="B1078" s="1" t="s">
        <v>2183</v>
      </c>
      <c r="C1078" s="1">
        <v>64</v>
      </c>
      <c r="D1078" s="1" t="s">
        <v>23</v>
      </c>
      <c r="E1078" s="1" t="s">
        <v>17</v>
      </c>
      <c r="F1078" s="1" t="s">
        <v>18</v>
      </c>
      <c r="G1078" s="9">
        <v>15290.55</v>
      </c>
      <c r="H1078" s="1">
        <v>80806.42</v>
      </c>
      <c r="I1078" s="1">
        <v>716</v>
      </c>
      <c r="J1078" s="1">
        <v>448</v>
      </c>
      <c r="K1078" s="1">
        <v>38308</v>
      </c>
      <c r="L1078" s="1" t="s">
        <v>30</v>
      </c>
      <c r="M1078" s="1" t="s">
        <v>33</v>
      </c>
      <c r="N1078" s="1">
        <v>3.1</v>
      </c>
    </row>
    <row r="1079" spans="1:14" x14ac:dyDescent="0.3">
      <c r="A1079" s="1" t="s">
        <v>2184</v>
      </c>
      <c r="B1079" s="1" t="s">
        <v>2185</v>
      </c>
      <c r="C1079" s="1">
        <v>63</v>
      </c>
      <c r="D1079" s="1" t="s">
        <v>23</v>
      </c>
      <c r="E1079" s="1" t="s">
        <v>76</v>
      </c>
      <c r="F1079" s="1" t="s">
        <v>81</v>
      </c>
      <c r="G1079" s="9">
        <v>185868.05</v>
      </c>
      <c r="H1079" s="1">
        <v>1941491.32</v>
      </c>
      <c r="I1079" s="1">
        <v>846</v>
      </c>
      <c r="J1079" s="1">
        <v>370</v>
      </c>
      <c r="K1079" s="1">
        <v>160860</v>
      </c>
      <c r="L1079" s="1" t="s">
        <v>30</v>
      </c>
      <c r="M1079" s="1" t="s">
        <v>20</v>
      </c>
      <c r="N1079" s="1">
        <v>1.1000000000000001</v>
      </c>
    </row>
    <row r="1080" spans="1:14" x14ac:dyDescent="0.3">
      <c r="A1080" s="1" t="s">
        <v>2186</v>
      </c>
      <c r="B1080" s="1" t="s">
        <v>2187</v>
      </c>
      <c r="C1080" s="1">
        <v>41</v>
      </c>
      <c r="D1080" s="1" t="s">
        <v>16</v>
      </c>
      <c r="E1080" s="1" t="s">
        <v>38</v>
      </c>
      <c r="F1080" s="1" t="s">
        <v>81</v>
      </c>
      <c r="G1080" s="9">
        <v>1076353.81</v>
      </c>
      <c r="H1080" s="1">
        <v>1278899.25</v>
      </c>
      <c r="I1080" s="1">
        <v>750</v>
      </c>
      <c r="J1080" s="1">
        <v>224</v>
      </c>
      <c r="K1080" s="1">
        <v>124708</v>
      </c>
      <c r="L1080" s="1" t="s">
        <v>19</v>
      </c>
      <c r="M1080" s="1" t="s">
        <v>20</v>
      </c>
      <c r="N1080" s="1">
        <v>4.0999999999999996</v>
      </c>
    </row>
    <row r="1081" spans="1:14" x14ac:dyDescent="0.3">
      <c r="A1081" s="1" t="s">
        <v>2188</v>
      </c>
      <c r="B1081" s="1" t="s">
        <v>2189</v>
      </c>
      <c r="C1081" s="1">
        <v>41</v>
      </c>
      <c r="D1081" s="1" t="s">
        <v>23</v>
      </c>
      <c r="E1081" s="1" t="s">
        <v>29</v>
      </c>
      <c r="F1081" s="1" t="s">
        <v>81</v>
      </c>
      <c r="G1081" s="9">
        <v>986522.81</v>
      </c>
      <c r="H1081" s="1">
        <v>354875.25</v>
      </c>
      <c r="I1081" s="1">
        <v>548</v>
      </c>
      <c r="J1081" s="1">
        <v>412</v>
      </c>
      <c r="K1081" s="1">
        <v>128237</v>
      </c>
      <c r="L1081" s="1" t="s">
        <v>19</v>
      </c>
      <c r="M1081" s="1" t="s">
        <v>33</v>
      </c>
      <c r="N1081" s="1">
        <v>2.9</v>
      </c>
    </row>
    <row r="1082" spans="1:14" x14ac:dyDescent="0.3">
      <c r="A1082" s="1" t="s">
        <v>2190</v>
      </c>
      <c r="B1082" s="1" t="s">
        <v>2191</v>
      </c>
      <c r="C1082" s="1">
        <v>63</v>
      </c>
      <c r="D1082" s="1" t="s">
        <v>23</v>
      </c>
      <c r="E1082" s="1" t="s">
        <v>45</v>
      </c>
      <c r="F1082" s="1" t="s">
        <v>81</v>
      </c>
      <c r="G1082" s="9">
        <v>1129991.2</v>
      </c>
      <c r="H1082" s="1">
        <v>1892451.44</v>
      </c>
      <c r="I1082" s="1">
        <v>650</v>
      </c>
      <c r="J1082" s="1">
        <v>156</v>
      </c>
      <c r="K1082" s="1">
        <v>148863</v>
      </c>
      <c r="L1082" s="1" t="s">
        <v>26</v>
      </c>
      <c r="M1082" s="1" t="s">
        <v>20</v>
      </c>
      <c r="N1082" s="1">
        <v>3.8</v>
      </c>
    </row>
    <row r="1083" spans="1:14" x14ac:dyDescent="0.3">
      <c r="A1083" s="1" t="s">
        <v>2192</v>
      </c>
      <c r="B1083" s="1" t="s">
        <v>2193</v>
      </c>
      <c r="C1083" s="1">
        <v>66</v>
      </c>
      <c r="D1083" s="1" t="s">
        <v>23</v>
      </c>
      <c r="E1083" s="1" t="s">
        <v>55</v>
      </c>
      <c r="F1083" s="1" t="s">
        <v>81</v>
      </c>
      <c r="G1083" s="9">
        <v>226295.84</v>
      </c>
      <c r="H1083" s="1">
        <v>721076.08</v>
      </c>
      <c r="I1083" s="1">
        <v>526</v>
      </c>
      <c r="J1083" s="1">
        <v>455</v>
      </c>
      <c r="K1083" s="1">
        <v>56705</v>
      </c>
      <c r="L1083" s="1" t="s">
        <v>40</v>
      </c>
      <c r="M1083" s="1" t="s">
        <v>33</v>
      </c>
      <c r="N1083" s="1">
        <v>2.5</v>
      </c>
    </row>
    <row r="1084" spans="1:14" x14ac:dyDescent="0.3">
      <c r="A1084" s="1" t="s">
        <v>2194</v>
      </c>
      <c r="B1084" s="1" t="s">
        <v>2195</v>
      </c>
      <c r="C1084" s="1">
        <v>48</v>
      </c>
      <c r="D1084" s="1" t="s">
        <v>23</v>
      </c>
      <c r="E1084" s="1" t="s">
        <v>55</v>
      </c>
      <c r="F1084" s="1" t="s">
        <v>39</v>
      </c>
      <c r="G1084" s="9">
        <v>662594.22</v>
      </c>
      <c r="H1084" s="1">
        <v>737199.04</v>
      </c>
      <c r="I1084" s="1">
        <v>431</v>
      </c>
      <c r="J1084" s="1">
        <v>80</v>
      </c>
      <c r="K1084" s="1">
        <v>206929</v>
      </c>
      <c r="L1084" s="1" t="s">
        <v>19</v>
      </c>
      <c r="M1084" s="1" t="s">
        <v>20</v>
      </c>
      <c r="N1084" s="1">
        <v>3.4</v>
      </c>
    </row>
    <row r="1085" spans="1:14" x14ac:dyDescent="0.3">
      <c r="A1085" s="1" t="s">
        <v>2196</v>
      </c>
      <c r="B1085" s="1" t="s">
        <v>2197</v>
      </c>
      <c r="C1085" s="1">
        <v>55</v>
      </c>
      <c r="D1085" s="1" t="s">
        <v>23</v>
      </c>
      <c r="E1085" s="1" t="s">
        <v>45</v>
      </c>
      <c r="F1085" s="1" t="s">
        <v>39</v>
      </c>
      <c r="G1085" s="9">
        <v>226803.23</v>
      </c>
      <c r="H1085" s="1">
        <v>30166.79</v>
      </c>
      <c r="I1085" s="1">
        <v>672</v>
      </c>
      <c r="J1085" s="1">
        <v>374</v>
      </c>
      <c r="K1085" s="1">
        <v>99418</v>
      </c>
      <c r="L1085" s="1" t="s">
        <v>26</v>
      </c>
      <c r="M1085" s="1" t="s">
        <v>20</v>
      </c>
      <c r="N1085" s="1">
        <v>3</v>
      </c>
    </row>
    <row r="1086" spans="1:14" x14ac:dyDescent="0.3">
      <c r="A1086" s="1" t="s">
        <v>2198</v>
      </c>
      <c r="B1086" s="1" t="s">
        <v>2199</v>
      </c>
      <c r="C1086" s="1">
        <v>55</v>
      </c>
      <c r="D1086" s="1" t="s">
        <v>16</v>
      </c>
      <c r="E1086" s="1" t="s">
        <v>45</v>
      </c>
      <c r="F1086" s="1" t="s">
        <v>39</v>
      </c>
      <c r="G1086" s="9">
        <v>754137.46</v>
      </c>
      <c r="H1086" s="1">
        <v>1308343.55</v>
      </c>
      <c r="I1086" s="1">
        <v>687</v>
      </c>
      <c r="J1086" s="1">
        <v>448</v>
      </c>
      <c r="K1086" s="1">
        <v>243506</v>
      </c>
      <c r="L1086" s="1" t="s">
        <v>30</v>
      </c>
      <c r="M1086" s="1" t="s">
        <v>33</v>
      </c>
      <c r="N1086" s="1">
        <v>4.7</v>
      </c>
    </row>
    <row r="1087" spans="1:14" x14ac:dyDescent="0.3">
      <c r="A1087" s="1" t="s">
        <v>2200</v>
      </c>
      <c r="B1087" s="1" t="s">
        <v>2201</v>
      </c>
      <c r="C1087" s="1">
        <v>18</v>
      </c>
      <c r="D1087" s="1" t="s">
        <v>23</v>
      </c>
      <c r="E1087" s="1" t="s">
        <v>29</v>
      </c>
      <c r="F1087" s="1" t="s">
        <v>39</v>
      </c>
      <c r="G1087" s="9">
        <v>1420687.64</v>
      </c>
      <c r="H1087" s="1">
        <v>855917.49</v>
      </c>
      <c r="I1087" s="1">
        <v>616</v>
      </c>
      <c r="J1087" s="1">
        <v>110</v>
      </c>
      <c r="K1087" s="1">
        <v>195307</v>
      </c>
      <c r="L1087" s="1" t="s">
        <v>26</v>
      </c>
      <c r="M1087" s="1" t="s">
        <v>33</v>
      </c>
      <c r="N1087" s="1">
        <v>1.9</v>
      </c>
    </row>
    <row r="1088" spans="1:14" x14ac:dyDescent="0.3">
      <c r="A1088" s="1" t="s">
        <v>2202</v>
      </c>
      <c r="B1088" s="1" t="s">
        <v>2203</v>
      </c>
      <c r="C1088" s="1">
        <v>47</v>
      </c>
      <c r="D1088" s="1" t="s">
        <v>16</v>
      </c>
      <c r="E1088" s="1" t="s">
        <v>48</v>
      </c>
      <c r="F1088" s="1" t="s">
        <v>18</v>
      </c>
      <c r="G1088" s="9">
        <v>1369490.25</v>
      </c>
      <c r="H1088" s="1">
        <v>2265755.0699999998</v>
      </c>
      <c r="I1088" s="1">
        <v>836</v>
      </c>
      <c r="J1088" s="1">
        <v>464</v>
      </c>
      <c r="K1088" s="1">
        <v>169266</v>
      </c>
      <c r="L1088" s="1" t="s">
        <v>30</v>
      </c>
      <c r="M1088" s="1" t="s">
        <v>20</v>
      </c>
      <c r="N1088" s="1">
        <v>1.9</v>
      </c>
    </row>
    <row r="1089" spans="1:14" x14ac:dyDescent="0.3">
      <c r="A1089" s="1" t="s">
        <v>2204</v>
      </c>
      <c r="B1089" s="1" t="s">
        <v>2205</v>
      </c>
      <c r="C1089" s="1">
        <v>39</v>
      </c>
      <c r="D1089" s="1" t="s">
        <v>16</v>
      </c>
      <c r="E1089" s="1" t="s">
        <v>76</v>
      </c>
      <c r="F1089" s="1" t="s">
        <v>25</v>
      </c>
      <c r="G1089" s="9">
        <v>105460.6</v>
      </c>
      <c r="H1089" s="1">
        <v>1383211.2</v>
      </c>
      <c r="I1089" s="1">
        <v>847</v>
      </c>
      <c r="J1089" s="1">
        <v>438</v>
      </c>
      <c r="K1089" s="1">
        <v>153016</v>
      </c>
      <c r="L1089" s="1" t="s">
        <v>40</v>
      </c>
      <c r="M1089" s="1" t="s">
        <v>20</v>
      </c>
      <c r="N1089" s="1">
        <v>4</v>
      </c>
    </row>
    <row r="1090" spans="1:14" x14ac:dyDescent="0.3">
      <c r="A1090" s="1" t="s">
        <v>2206</v>
      </c>
      <c r="B1090" s="1" t="s">
        <v>2207</v>
      </c>
      <c r="C1090" s="1">
        <v>34</v>
      </c>
      <c r="D1090" s="1" t="s">
        <v>23</v>
      </c>
      <c r="E1090" s="1" t="s">
        <v>38</v>
      </c>
      <c r="F1090" s="1" t="s">
        <v>18</v>
      </c>
      <c r="G1090" s="9">
        <v>1110456.49</v>
      </c>
      <c r="H1090" s="1">
        <v>1724247.6</v>
      </c>
      <c r="I1090" s="1">
        <v>550</v>
      </c>
      <c r="J1090" s="1">
        <v>121</v>
      </c>
      <c r="K1090" s="1">
        <v>228999</v>
      </c>
      <c r="L1090" s="1" t="s">
        <v>26</v>
      </c>
      <c r="M1090" s="1" t="s">
        <v>33</v>
      </c>
      <c r="N1090" s="1">
        <v>3.8</v>
      </c>
    </row>
    <row r="1091" spans="1:14" x14ac:dyDescent="0.3">
      <c r="A1091" s="1" t="s">
        <v>2208</v>
      </c>
      <c r="B1091" s="1" t="s">
        <v>2209</v>
      </c>
      <c r="C1091" s="1">
        <v>23</v>
      </c>
      <c r="D1091" s="1" t="s">
        <v>23</v>
      </c>
      <c r="E1091" s="1" t="s">
        <v>76</v>
      </c>
      <c r="F1091" s="1" t="s">
        <v>39</v>
      </c>
      <c r="G1091" s="9">
        <v>289071.18</v>
      </c>
      <c r="H1091" s="1">
        <v>2076730.95</v>
      </c>
      <c r="I1091" s="1">
        <v>365</v>
      </c>
      <c r="J1091" s="1">
        <v>468</v>
      </c>
      <c r="K1091" s="1">
        <v>214801</v>
      </c>
      <c r="L1091" s="1" t="s">
        <v>40</v>
      </c>
      <c r="M1091" s="1" t="s">
        <v>20</v>
      </c>
      <c r="N1091" s="1">
        <v>4.5999999999999996</v>
      </c>
    </row>
    <row r="1092" spans="1:14" x14ac:dyDescent="0.3">
      <c r="A1092" s="1" t="s">
        <v>2210</v>
      </c>
      <c r="B1092" s="1" t="s">
        <v>2211</v>
      </c>
      <c r="C1092" s="1">
        <v>55</v>
      </c>
      <c r="D1092" s="1" t="s">
        <v>23</v>
      </c>
      <c r="E1092" s="1" t="s">
        <v>29</v>
      </c>
      <c r="F1092" s="1" t="s">
        <v>39</v>
      </c>
      <c r="G1092" s="9">
        <v>873999.3</v>
      </c>
      <c r="H1092" s="1">
        <v>1160678.23</v>
      </c>
      <c r="I1092" s="1">
        <v>849</v>
      </c>
      <c r="J1092" s="1">
        <v>456</v>
      </c>
      <c r="K1092" s="1">
        <v>219669</v>
      </c>
      <c r="L1092" s="1" t="s">
        <v>30</v>
      </c>
      <c r="M1092" s="1" t="s">
        <v>20</v>
      </c>
      <c r="N1092" s="1">
        <v>4.0999999999999996</v>
      </c>
    </row>
    <row r="1093" spans="1:14" x14ac:dyDescent="0.3">
      <c r="A1093" s="1" t="s">
        <v>2212</v>
      </c>
      <c r="B1093" s="1" t="s">
        <v>2213</v>
      </c>
      <c r="C1093" s="1">
        <v>46</v>
      </c>
      <c r="D1093" s="1" t="s">
        <v>16</v>
      </c>
      <c r="E1093" s="1" t="s">
        <v>17</v>
      </c>
      <c r="F1093" s="1" t="s">
        <v>18</v>
      </c>
      <c r="G1093" s="9">
        <v>716673.53</v>
      </c>
      <c r="H1093" s="1">
        <v>249689.77</v>
      </c>
      <c r="I1093" s="1">
        <v>520</v>
      </c>
      <c r="J1093" s="1">
        <v>311</v>
      </c>
      <c r="K1093" s="1">
        <v>41859</v>
      </c>
      <c r="L1093" s="1" t="s">
        <v>30</v>
      </c>
      <c r="M1093" s="1" t="s">
        <v>20</v>
      </c>
      <c r="N1093" s="1">
        <v>2.9</v>
      </c>
    </row>
    <row r="1094" spans="1:14" x14ac:dyDescent="0.3">
      <c r="A1094" s="1" t="s">
        <v>2214</v>
      </c>
      <c r="B1094" s="1" t="s">
        <v>2215</v>
      </c>
      <c r="C1094" s="1">
        <v>55</v>
      </c>
      <c r="D1094" s="1" t="s">
        <v>23</v>
      </c>
      <c r="E1094" s="1" t="s">
        <v>45</v>
      </c>
      <c r="F1094" s="1" t="s">
        <v>39</v>
      </c>
      <c r="G1094" s="9">
        <v>954224.17</v>
      </c>
      <c r="H1094" s="1">
        <v>1888857.62</v>
      </c>
      <c r="I1094" s="1">
        <v>300</v>
      </c>
      <c r="J1094" s="1">
        <v>133</v>
      </c>
      <c r="K1094" s="1">
        <v>231226</v>
      </c>
      <c r="L1094" s="1" t="s">
        <v>26</v>
      </c>
      <c r="M1094" s="1" t="s">
        <v>33</v>
      </c>
      <c r="N1094" s="1">
        <v>4</v>
      </c>
    </row>
    <row r="1095" spans="1:14" x14ac:dyDescent="0.3">
      <c r="A1095" s="1" t="s">
        <v>2216</v>
      </c>
      <c r="B1095" s="1" t="s">
        <v>2217</v>
      </c>
      <c r="C1095" s="1">
        <v>50</v>
      </c>
      <c r="D1095" s="1" t="s">
        <v>23</v>
      </c>
      <c r="E1095" s="1" t="s">
        <v>45</v>
      </c>
      <c r="F1095" s="1" t="s">
        <v>18</v>
      </c>
      <c r="G1095" s="9">
        <v>1427396.37</v>
      </c>
      <c r="H1095" s="1">
        <v>749093.17</v>
      </c>
      <c r="I1095" s="1">
        <v>844</v>
      </c>
      <c r="J1095" s="1">
        <v>132</v>
      </c>
      <c r="K1095" s="1">
        <v>94384</v>
      </c>
      <c r="L1095" s="1" t="s">
        <v>40</v>
      </c>
      <c r="M1095" s="1" t="s">
        <v>33</v>
      </c>
      <c r="N1095" s="1">
        <v>2.4</v>
      </c>
    </row>
    <row r="1096" spans="1:14" x14ac:dyDescent="0.3">
      <c r="A1096" s="1" t="s">
        <v>2218</v>
      </c>
      <c r="B1096" s="1" t="s">
        <v>2219</v>
      </c>
      <c r="C1096" s="1">
        <v>18</v>
      </c>
      <c r="D1096" s="1" t="s">
        <v>23</v>
      </c>
      <c r="E1096" s="1" t="s">
        <v>55</v>
      </c>
      <c r="F1096" s="1" t="s">
        <v>18</v>
      </c>
      <c r="G1096" s="9">
        <v>1340583.97</v>
      </c>
      <c r="H1096" s="1">
        <v>1273869.82</v>
      </c>
      <c r="I1096" s="1">
        <v>807</v>
      </c>
      <c r="J1096" s="1">
        <v>88</v>
      </c>
      <c r="K1096" s="1">
        <v>103678</v>
      </c>
      <c r="L1096" s="1" t="s">
        <v>30</v>
      </c>
      <c r="M1096" s="1" t="s">
        <v>33</v>
      </c>
      <c r="N1096" s="1">
        <v>1.7</v>
      </c>
    </row>
    <row r="1097" spans="1:14" x14ac:dyDescent="0.3">
      <c r="A1097" s="1" t="s">
        <v>2220</v>
      </c>
      <c r="B1097" s="1" t="s">
        <v>2221</v>
      </c>
      <c r="C1097" s="1">
        <v>58</v>
      </c>
      <c r="D1097" s="1" t="s">
        <v>23</v>
      </c>
      <c r="E1097" s="1" t="s">
        <v>55</v>
      </c>
      <c r="F1097" s="1" t="s">
        <v>81</v>
      </c>
      <c r="G1097" s="9">
        <v>810192.19</v>
      </c>
      <c r="H1097" s="1">
        <v>456639.18</v>
      </c>
      <c r="I1097" s="1">
        <v>411</v>
      </c>
      <c r="J1097" s="1">
        <v>395</v>
      </c>
      <c r="K1097" s="1">
        <v>200082</v>
      </c>
      <c r="L1097" s="1" t="s">
        <v>30</v>
      </c>
      <c r="M1097" s="1" t="s">
        <v>20</v>
      </c>
      <c r="N1097" s="1">
        <v>1.9</v>
      </c>
    </row>
    <row r="1098" spans="1:14" x14ac:dyDescent="0.3">
      <c r="A1098" s="1" t="s">
        <v>2222</v>
      </c>
      <c r="B1098" s="1" t="s">
        <v>2223</v>
      </c>
      <c r="C1098" s="1">
        <v>61</v>
      </c>
      <c r="D1098" s="1" t="s">
        <v>23</v>
      </c>
      <c r="E1098" s="1" t="s">
        <v>38</v>
      </c>
      <c r="F1098" s="1" t="s">
        <v>39</v>
      </c>
      <c r="G1098" s="9">
        <v>1391689.49</v>
      </c>
      <c r="H1098" s="1">
        <v>525729.81999999995</v>
      </c>
      <c r="I1098" s="1">
        <v>458</v>
      </c>
      <c r="J1098" s="1">
        <v>170</v>
      </c>
      <c r="K1098" s="1">
        <v>98659</v>
      </c>
      <c r="L1098" s="1" t="s">
        <v>40</v>
      </c>
      <c r="M1098" s="1" t="s">
        <v>33</v>
      </c>
      <c r="N1098" s="1">
        <v>1.6</v>
      </c>
    </row>
    <row r="1099" spans="1:14" x14ac:dyDescent="0.3">
      <c r="A1099" s="1" t="s">
        <v>2224</v>
      </c>
      <c r="B1099" s="1" t="s">
        <v>2225</v>
      </c>
      <c r="C1099" s="1">
        <v>51</v>
      </c>
      <c r="D1099" s="1" t="s">
        <v>23</v>
      </c>
      <c r="E1099" s="1" t="s">
        <v>55</v>
      </c>
      <c r="F1099" s="1" t="s">
        <v>81</v>
      </c>
      <c r="G1099" s="9">
        <v>981968.49</v>
      </c>
      <c r="H1099" s="1">
        <v>1971871.58</v>
      </c>
      <c r="I1099" s="1">
        <v>575</v>
      </c>
      <c r="J1099" s="1">
        <v>122</v>
      </c>
      <c r="K1099" s="1">
        <v>144197</v>
      </c>
      <c r="L1099" s="1" t="s">
        <v>40</v>
      </c>
      <c r="M1099" s="1" t="s">
        <v>33</v>
      </c>
      <c r="N1099" s="1">
        <v>4.7</v>
      </c>
    </row>
    <row r="1100" spans="1:14" x14ac:dyDescent="0.3">
      <c r="A1100" s="1" t="s">
        <v>2226</v>
      </c>
      <c r="B1100" s="1" t="s">
        <v>2227</v>
      </c>
      <c r="C1100" s="1">
        <v>39</v>
      </c>
      <c r="D1100" s="1" t="s">
        <v>23</v>
      </c>
      <c r="E1100" s="1" t="s">
        <v>17</v>
      </c>
      <c r="F1100" s="1" t="s">
        <v>18</v>
      </c>
      <c r="G1100" s="9">
        <v>534130.68999999994</v>
      </c>
      <c r="H1100" s="1">
        <v>1863034.84</v>
      </c>
      <c r="I1100" s="1">
        <v>760</v>
      </c>
      <c r="J1100" s="1">
        <v>162</v>
      </c>
      <c r="K1100" s="1">
        <v>210502</v>
      </c>
      <c r="L1100" s="1" t="s">
        <v>30</v>
      </c>
      <c r="M1100" s="1" t="s">
        <v>20</v>
      </c>
      <c r="N1100" s="1">
        <v>2.7</v>
      </c>
    </row>
    <row r="1101" spans="1:14" x14ac:dyDescent="0.3">
      <c r="A1101" s="1" t="s">
        <v>2228</v>
      </c>
      <c r="B1101" s="1" t="s">
        <v>2229</v>
      </c>
      <c r="C1101" s="1">
        <v>44</v>
      </c>
      <c r="D1101" s="1" t="s">
        <v>16</v>
      </c>
      <c r="E1101" s="1" t="s">
        <v>24</v>
      </c>
      <c r="F1101" s="1" t="s">
        <v>81</v>
      </c>
      <c r="G1101" s="9">
        <v>970460.11</v>
      </c>
      <c r="H1101" s="1">
        <v>349825.71</v>
      </c>
      <c r="I1101" s="1">
        <v>767</v>
      </c>
      <c r="J1101" s="1">
        <v>397</v>
      </c>
      <c r="K1101" s="1">
        <v>112697</v>
      </c>
      <c r="L1101" s="1" t="s">
        <v>26</v>
      </c>
      <c r="M1101" s="1" t="s">
        <v>33</v>
      </c>
      <c r="N1101" s="1">
        <v>2.1</v>
      </c>
    </row>
    <row r="1102" spans="1:14" x14ac:dyDescent="0.3">
      <c r="A1102" s="1" t="s">
        <v>2230</v>
      </c>
      <c r="B1102" s="1" t="s">
        <v>2231</v>
      </c>
      <c r="C1102" s="1">
        <v>19</v>
      </c>
      <c r="D1102" s="1" t="s">
        <v>16</v>
      </c>
      <c r="E1102" s="1" t="s">
        <v>45</v>
      </c>
      <c r="F1102" s="1" t="s">
        <v>81</v>
      </c>
      <c r="G1102" s="9">
        <v>644110.03</v>
      </c>
      <c r="H1102" s="1">
        <v>956015.84</v>
      </c>
      <c r="I1102" s="1">
        <v>871</v>
      </c>
      <c r="J1102" s="1">
        <v>291</v>
      </c>
      <c r="K1102" s="1">
        <v>104369</v>
      </c>
      <c r="L1102" s="1" t="s">
        <v>19</v>
      </c>
      <c r="M1102" s="1" t="s">
        <v>20</v>
      </c>
      <c r="N1102" s="1">
        <v>4</v>
      </c>
    </row>
    <row r="1103" spans="1:14" x14ac:dyDescent="0.3">
      <c r="A1103" s="1" t="s">
        <v>2232</v>
      </c>
      <c r="B1103" s="1" t="s">
        <v>2233</v>
      </c>
      <c r="C1103" s="1">
        <v>33</v>
      </c>
      <c r="D1103" s="1" t="s">
        <v>16</v>
      </c>
      <c r="E1103" s="1" t="s">
        <v>17</v>
      </c>
      <c r="F1103" s="1" t="s">
        <v>25</v>
      </c>
      <c r="G1103" s="9">
        <v>491597.14</v>
      </c>
      <c r="H1103" s="1">
        <v>1199206.75</v>
      </c>
      <c r="I1103" s="1">
        <v>781</v>
      </c>
      <c r="J1103" s="1">
        <v>492</v>
      </c>
      <c r="K1103" s="1">
        <v>62052</v>
      </c>
      <c r="L1103" s="1" t="s">
        <v>40</v>
      </c>
      <c r="M1103" s="1" t="s">
        <v>33</v>
      </c>
      <c r="N1103" s="1">
        <v>4.9000000000000004</v>
      </c>
    </row>
    <row r="1104" spans="1:14" x14ac:dyDescent="0.3">
      <c r="A1104" s="1" t="s">
        <v>2234</v>
      </c>
      <c r="B1104" s="1" t="s">
        <v>2235</v>
      </c>
      <c r="C1104" s="1">
        <v>56</v>
      </c>
      <c r="D1104" s="1" t="s">
        <v>23</v>
      </c>
      <c r="E1104" s="1" t="s">
        <v>55</v>
      </c>
      <c r="F1104" s="1" t="s">
        <v>18</v>
      </c>
      <c r="G1104" s="9">
        <v>565653.35</v>
      </c>
      <c r="H1104" s="1">
        <v>253599.79</v>
      </c>
      <c r="I1104" s="1">
        <v>650</v>
      </c>
      <c r="J1104" s="1">
        <v>146</v>
      </c>
      <c r="K1104" s="1">
        <v>173646</v>
      </c>
      <c r="L1104" s="1" t="s">
        <v>30</v>
      </c>
      <c r="M1104" s="1" t="s">
        <v>20</v>
      </c>
      <c r="N1104" s="1">
        <v>3.2</v>
      </c>
    </row>
    <row r="1105" spans="1:14" x14ac:dyDescent="0.3">
      <c r="A1105" s="1" t="s">
        <v>2236</v>
      </c>
      <c r="B1105" s="1" t="s">
        <v>2237</v>
      </c>
      <c r="C1105" s="1">
        <v>65</v>
      </c>
      <c r="D1105" s="1" t="s">
        <v>16</v>
      </c>
      <c r="E1105" s="1" t="s">
        <v>55</v>
      </c>
      <c r="F1105" s="1" t="s">
        <v>39</v>
      </c>
      <c r="G1105" s="9">
        <v>490195.55</v>
      </c>
      <c r="H1105" s="1">
        <v>1938107.27</v>
      </c>
      <c r="I1105" s="1">
        <v>723</v>
      </c>
      <c r="J1105" s="1">
        <v>427</v>
      </c>
      <c r="K1105" s="1">
        <v>39395</v>
      </c>
      <c r="L1105" s="1" t="s">
        <v>19</v>
      </c>
      <c r="M1105" s="1" t="s">
        <v>33</v>
      </c>
      <c r="N1105" s="1">
        <v>1.6</v>
      </c>
    </row>
    <row r="1106" spans="1:14" x14ac:dyDescent="0.3">
      <c r="A1106" s="1" t="s">
        <v>2238</v>
      </c>
      <c r="B1106" s="1" t="s">
        <v>2239</v>
      </c>
      <c r="C1106" s="1">
        <v>33</v>
      </c>
      <c r="D1106" s="1" t="s">
        <v>23</v>
      </c>
      <c r="E1106" s="1" t="s">
        <v>76</v>
      </c>
      <c r="F1106" s="1" t="s">
        <v>39</v>
      </c>
      <c r="G1106" s="9">
        <v>861236.09</v>
      </c>
      <c r="H1106" s="1">
        <v>1906967.9</v>
      </c>
      <c r="I1106" s="1">
        <v>566</v>
      </c>
      <c r="J1106" s="1">
        <v>290</v>
      </c>
      <c r="K1106" s="1">
        <v>105941</v>
      </c>
      <c r="L1106" s="1" t="s">
        <v>19</v>
      </c>
      <c r="M1106" s="1" t="s">
        <v>33</v>
      </c>
      <c r="N1106" s="1">
        <v>3.1</v>
      </c>
    </row>
    <row r="1107" spans="1:14" x14ac:dyDescent="0.3">
      <c r="A1107" s="1" t="s">
        <v>2240</v>
      </c>
      <c r="B1107" s="1" t="s">
        <v>2241</v>
      </c>
      <c r="C1107" s="1">
        <v>41</v>
      </c>
      <c r="D1107" s="1" t="s">
        <v>23</v>
      </c>
      <c r="E1107" s="1" t="s">
        <v>48</v>
      </c>
      <c r="F1107" s="1" t="s">
        <v>81</v>
      </c>
      <c r="G1107" s="9">
        <v>671531.36</v>
      </c>
      <c r="H1107" s="1">
        <v>2211463.0499999998</v>
      </c>
      <c r="I1107" s="1">
        <v>488</v>
      </c>
      <c r="J1107" s="1">
        <v>169</v>
      </c>
      <c r="K1107" s="1">
        <v>222559</v>
      </c>
      <c r="L1107" s="1" t="s">
        <v>40</v>
      </c>
      <c r="M1107" s="1" t="s">
        <v>33</v>
      </c>
      <c r="N1107" s="1">
        <v>2.9</v>
      </c>
    </row>
    <row r="1108" spans="1:14" x14ac:dyDescent="0.3">
      <c r="A1108" s="1" t="s">
        <v>2242</v>
      </c>
      <c r="B1108" s="1" t="s">
        <v>2243</v>
      </c>
      <c r="C1108" s="1">
        <v>34</v>
      </c>
      <c r="D1108" s="1" t="s">
        <v>23</v>
      </c>
      <c r="E1108" s="1" t="s">
        <v>45</v>
      </c>
      <c r="F1108" s="1" t="s">
        <v>18</v>
      </c>
      <c r="G1108" s="9">
        <v>1122737.17</v>
      </c>
      <c r="H1108" s="1">
        <v>57845.77</v>
      </c>
      <c r="I1108" s="1">
        <v>422</v>
      </c>
      <c r="J1108" s="1">
        <v>333</v>
      </c>
      <c r="K1108" s="1">
        <v>178234</v>
      </c>
      <c r="L1108" s="1" t="s">
        <v>19</v>
      </c>
      <c r="M1108" s="1" t="s">
        <v>33</v>
      </c>
      <c r="N1108" s="1">
        <v>2.6</v>
      </c>
    </row>
    <row r="1109" spans="1:14" x14ac:dyDescent="0.3">
      <c r="A1109" s="1" t="s">
        <v>2244</v>
      </c>
      <c r="B1109" s="1" t="s">
        <v>2245</v>
      </c>
      <c r="C1109" s="1">
        <v>19</v>
      </c>
      <c r="D1109" s="1" t="s">
        <v>23</v>
      </c>
      <c r="E1109" s="1" t="s">
        <v>55</v>
      </c>
      <c r="F1109" s="1" t="s">
        <v>81</v>
      </c>
      <c r="G1109" s="9">
        <v>658624.34</v>
      </c>
      <c r="H1109" s="1">
        <v>80210.039999999994</v>
      </c>
      <c r="I1109" s="1">
        <v>816</v>
      </c>
      <c r="J1109" s="1">
        <v>452</v>
      </c>
      <c r="K1109" s="1">
        <v>168298</v>
      </c>
      <c r="L1109" s="1" t="s">
        <v>19</v>
      </c>
      <c r="M1109" s="1" t="s">
        <v>20</v>
      </c>
      <c r="N1109" s="1">
        <v>4.2</v>
      </c>
    </row>
    <row r="1110" spans="1:14" x14ac:dyDescent="0.3">
      <c r="A1110" s="1" t="s">
        <v>2246</v>
      </c>
      <c r="B1110" s="1" t="s">
        <v>2247</v>
      </c>
      <c r="C1110" s="1">
        <v>54</v>
      </c>
      <c r="D1110" s="1" t="s">
        <v>16</v>
      </c>
      <c r="E1110" s="1" t="s">
        <v>45</v>
      </c>
      <c r="F1110" s="1" t="s">
        <v>39</v>
      </c>
      <c r="G1110" s="9">
        <v>1461470.17</v>
      </c>
      <c r="H1110" s="1">
        <v>1951470.53</v>
      </c>
      <c r="I1110" s="1">
        <v>844</v>
      </c>
      <c r="J1110" s="1">
        <v>86</v>
      </c>
      <c r="K1110" s="1">
        <v>44154</v>
      </c>
      <c r="L1110" s="1" t="s">
        <v>19</v>
      </c>
      <c r="M1110" s="1" t="s">
        <v>33</v>
      </c>
      <c r="N1110" s="1">
        <v>4.2</v>
      </c>
    </row>
    <row r="1111" spans="1:14" x14ac:dyDescent="0.3">
      <c r="A1111" s="1" t="s">
        <v>2248</v>
      </c>
      <c r="B1111" s="1" t="s">
        <v>2249</v>
      </c>
      <c r="C1111" s="1">
        <v>70</v>
      </c>
      <c r="D1111" s="1" t="s">
        <v>16</v>
      </c>
      <c r="E1111" s="1" t="s">
        <v>48</v>
      </c>
      <c r="F1111" s="1" t="s">
        <v>25</v>
      </c>
      <c r="G1111" s="9">
        <v>701244.17</v>
      </c>
      <c r="H1111" s="1">
        <v>2223389.46</v>
      </c>
      <c r="I1111" s="1">
        <v>455</v>
      </c>
      <c r="J1111" s="1">
        <v>338</v>
      </c>
      <c r="K1111" s="1">
        <v>92578</v>
      </c>
      <c r="L1111" s="1" t="s">
        <v>30</v>
      </c>
      <c r="M1111" s="1" t="s">
        <v>20</v>
      </c>
      <c r="N1111" s="1">
        <v>2.2999999999999998</v>
      </c>
    </row>
    <row r="1112" spans="1:14" x14ac:dyDescent="0.3">
      <c r="A1112" s="1" t="s">
        <v>2250</v>
      </c>
      <c r="B1112" s="1" t="s">
        <v>2251</v>
      </c>
      <c r="C1112" s="1">
        <v>43</v>
      </c>
      <c r="D1112" s="1" t="s">
        <v>23</v>
      </c>
      <c r="E1112" s="1" t="s">
        <v>17</v>
      </c>
      <c r="F1112" s="1" t="s">
        <v>39</v>
      </c>
      <c r="G1112" s="9">
        <v>444251.61</v>
      </c>
      <c r="H1112" s="1">
        <v>1559224.37</v>
      </c>
      <c r="I1112" s="1">
        <v>699</v>
      </c>
      <c r="J1112" s="1">
        <v>14</v>
      </c>
      <c r="K1112" s="1">
        <v>170664</v>
      </c>
      <c r="L1112" s="1" t="s">
        <v>26</v>
      </c>
      <c r="M1112" s="1" t="s">
        <v>20</v>
      </c>
      <c r="N1112" s="1">
        <v>1</v>
      </c>
    </row>
    <row r="1113" spans="1:14" x14ac:dyDescent="0.3">
      <c r="A1113" s="1" t="s">
        <v>2252</v>
      </c>
      <c r="B1113" s="1" t="s">
        <v>2253</v>
      </c>
      <c r="C1113" s="1">
        <v>55</v>
      </c>
      <c r="D1113" s="1" t="s">
        <v>23</v>
      </c>
      <c r="E1113" s="1" t="s">
        <v>38</v>
      </c>
      <c r="F1113" s="1" t="s">
        <v>39</v>
      </c>
      <c r="G1113" s="9">
        <v>1152829.3600000001</v>
      </c>
      <c r="H1113" s="1">
        <v>1330910.69</v>
      </c>
      <c r="I1113" s="1">
        <v>505</v>
      </c>
      <c r="J1113" s="1">
        <v>399</v>
      </c>
      <c r="K1113" s="1">
        <v>196826</v>
      </c>
      <c r="L1113" s="1" t="s">
        <v>40</v>
      </c>
      <c r="M1113" s="1" t="s">
        <v>20</v>
      </c>
      <c r="N1113" s="1">
        <v>4.3</v>
      </c>
    </row>
    <row r="1114" spans="1:14" x14ac:dyDescent="0.3">
      <c r="A1114" s="1" t="s">
        <v>2254</v>
      </c>
      <c r="B1114" s="1" t="s">
        <v>2255</v>
      </c>
      <c r="C1114" s="1">
        <v>37</v>
      </c>
      <c r="D1114" s="1" t="s">
        <v>23</v>
      </c>
      <c r="E1114" s="1" t="s">
        <v>29</v>
      </c>
      <c r="F1114" s="1" t="s">
        <v>81</v>
      </c>
      <c r="G1114" s="9">
        <v>155840.26</v>
      </c>
      <c r="H1114" s="1">
        <v>1333555.1200000001</v>
      </c>
      <c r="I1114" s="1">
        <v>340</v>
      </c>
      <c r="J1114" s="1">
        <v>404</v>
      </c>
      <c r="K1114" s="1">
        <v>67601</v>
      </c>
      <c r="L1114" s="1" t="s">
        <v>26</v>
      </c>
      <c r="M1114" s="1" t="s">
        <v>20</v>
      </c>
      <c r="N1114" s="1">
        <v>1.5</v>
      </c>
    </row>
    <row r="1115" spans="1:14" x14ac:dyDescent="0.3">
      <c r="A1115" s="1" t="s">
        <v>2256</v>
      </c>
      <c r="B1115" s="1" t="s">
        <v>2257</v>
      </c>
      <c r="C1115" s="1">
        <v>60</v>
      </c>
      <c r="D1115" s="1" t="s">
        <v>16</v>
      </c>
      <c r="E1115" s="1" t="s">
        <v>48</v>
      </c>
      <c r="F1115" s="1" t="s">
        <v>18</v>
      </c>
      <c r="G1115" s="9">
        <v>306543.63</v>
      </c>
      <c r="H1115" s="1">
        <v>408222.27</v>
      </c>
      <c r="I1115" s="1">
        <v>577</v>
      </c>
      <c r="J1115" s="1">
        <v>124</v>
      </c>
      <c r="K1115" s="1">
        <v>74737</v>
      </c>
      <c r="L1115" s="1" t="s">
        <v>40</v>
      </c>
      <c r="M1115" s="1" t="s">
        <v>33</v>
      </c>
      <c r="N1115" s="1">
        <v>4.7</v>
      </c>
    </row>
    <row r="1116" spans="1:14" x14ac:dyDescent="0.3">
      <c r="A1116" s="1" t="s">
        <v>2258</v>
      </c>
      <c r="B1116" s="1" t="s">
        <v>2259</v>
      </c>
      <c r="C1116" s="1">
        <v>25</v>
      </c>
      <c r="D1116" s="1" t="s">
        <v>23</v>
      </c>
      <c r="E1116" s="1" t="s">
        <v>17</v>
      </c>
      <c r="F1116" s="1" t="s">
        <v>39</v>
      </c>
      <c r="G1116" s="9">
        <v>1422280.48</v>
      </c>
      <c r="H1116" s="1">
        <v>63559.72</v>
      </c>
      <c r="I1116" s="1">
        <v>513</v>
      </c>
      <c r="J1116" s="1">
        <v>199</v>
      </c>
      <c r="K1116" s="1">
        <v>238669</v>
      </c>
      <c r="L1116" s="1" t="s">
        <v>40</v>
      </c>
      <c r="M1116" s="1" t="s">
        <v>33</v>
      </c>
      <c r="N1116" s="1">
        <v>1.2</v>
      </c>
    </row>
    <row r="1117" spans="1:14" x14ac:dyDescent="0.3">
      <c r="A1117" s="1" t="s">
        <v>2260</v>
      </c>
      <c r="B1117" s="1" t="s">
        <v>2261</v>
      </c>
      <c r="C1117" s="1">
        <v>55</v>
      </c>
      <c r="D1117" s="1" t="s">
        <v>16</v>
      </c>
      <c r="E1117" s="1" t="s">
        <v>38</v>
      </c>
      <c r="F1117" s="1" t="s">
        <v>39</v>
      </c>
      <c r="G1117" s="9">
        <v>191350.73</v>
      </c>
      <c r="H1117" s="1">
        <v>2423109.4500000002</v>
      </c>
      <c r="I1117" s="1">
        <v>818</v>
      </c>
      <c r="J1117" s="1">
        <v>472</v>
      </c>
      <c r="K1117" s="1">
        <v>233516</v>
      </c>
      <c r="L1117" s="1" t="s">
        <v>19</v>
      </c>
      <c r="M1117" s="1" t="s">
        <v>33</v>
      </c>
      <c r="N1117" s="1">
        <v>3.3</v>
      </c>
    </row>
    <row r="1118" spans="1:14" x14ac:dyDescent="0.3">
      <c r="A1118" s="1" t="s">
        <v>2262</v>
      </c>
      <c r="B1118" s="1" t="s">
        <v>2263</v>
      </c>
      <c r="C1118" s="1">
        <v>65</v>
      </c>
      <c r="D1118" s="1" t="s">
        <v>16</v>
      </c>
      <c r="E1118" s="1" t="s">
        <v>48</v>
      </c>
      <c r="F1118" s="1" t="s">
        <v>25</v>
      </c>
      <c r="G1118" s="9">
        <v>540793.57999999996</v>
      </c>
      <c r="H1118" s="1">
        <v>2488393.9</v>
      </c>
      <c r="I1118" s="1">
        <v>725</v>
      </c>
      <c r="J1118" s="1">
        <v>102</v>
      </c>
      <c r="K1118" s="1">
        <v>178557</v>
      </c>
      <c r="L1118" s="1" t="s">
        <v>26</v>
      </c>
      <c r="M1118" s="1" t="s">
        <v>20</v>
      </c>
      <c r="N1118" s="1">
        <v>1.8</v>
      </c>
    </row>
    <row r="1119" spans="1:14" x14ac:dyDescent="0.3">
      <c r="A1119" s="1" t="s">
        <v>2264</v>
      </c>
      <c r="B1119" s="1" t="s">
        <v>2265</v>
      </c>
      <c r="C1119" s="1">
        <v>47</v>
      </c>
      <c r="D1119" s="1" t="s">
        <v>23</v>
      </c>
      <c r="E1119" s="1" t="s">
        <v>48</v>
      </c>
      <c r="F1119" s="1" t="s">
        <v>81</v>
      </c>
      <c r="G1119" s="9">
        <v>15847.11</v>
      </c>
      <c r="H1119" s="1">
        <v>2008529.18</v>
      </c>
      <c r="I1119" s="1">
        <v>709</v>
      </c>
      <c r="J1119" s="1">
        <v>497</v>
      </c>
      <c r="K1119" s="1">
        <v>24232</v>
      </c>
      <c r="L1119" s="1" t="s">
        <v>19</v>
      </c>
      <c r="M1119" s="1" t="s">
        <v>33</v>
      </c>
      <c r="N1119" s="1">
        <v>4.4000000000000004</v>
      </c>
    </row>
    <row r="1120" spans="1:14" x14ac:dyDescent="0.3">
      <c r="A1120" s="1" t="s">
        <v>2266</v>
      </c>
      <c r="B1120" s="1" t="s">
        <v>2267</v>
      </c>
      <c r="C1120" s="1">
        <v>59</v>
      </c>
      <c r="D1120" s="1" t="s">
        <v>23</v>
      </c>
      <c r="E1120" s="1" t="s">
        <v>48</v>
      </c>
      <c r="F1120" s="1" t="s">
        <v>18</v>
      </c>
      <c r="G1120" s="9">
        <v>347891.46</v>
      </c>
      <c r="H1120" s="1">
        <v>1753034.84</v>
      </c>
      <c r="I1120" s="1">
        <v>699</v>
      </c>
      <c r="J1120" s="1">
        <v>453</v>
      </c>
      <c r="K1120" s="1">
        <v>98825</v>
      </c>
      <c r="L1120" s="1" t="s">
        <v>40</v>
      </c>
      <c r="M1120" s="1" t="s">
        <v>20</v>
      </c>
      <c r="N1120" s="1">
        <v>2.9</v>
      </c>
    </row>
    <row r="1121" spans="1:14" x14ac:dyDescent="0.3">
      <c r="A1121" s="1" t="s">
        <v>2268</v>
      </c>
      <c r="B1121" s="1" t="s">
        <v>2269</v>
      </c>
      <c r="C1121" s="1">
        <v>29</v>
      </c>
      <c r="D1121" s="1" t="s">
        <v>16</v>
      </c>
      <c r="E1121" s="1" t="s">
        <v>76</v>
      </c>
      <c r="F1121" s="1" t="s">
        <v>39</v>
      </c>
      <c r="G1121" s="9">
        <v>18864.55</v>
      </c>
      <c r="H1121" s="1">
        <v>1296555.05</v>
      </c>
      <c r="I1121" s="1">
        <v>443</v>
      </c>
      <c r="J1121" s="1">
        <v>360</v>
      </c>
      <c r="K1121" s="1">
        <v>168001</v>
      </c>
      <c r="L1121" s="1" t="s">
        <v>26</v>
      </c>
      <c r="M1121" s="1" t="s">
        <v>33</v>
      </c>
      <c r="N1121" s="1">
        <v>2.9</v>
      </c>
    </row>
    <row r="1122" spans="1:14" x14ac:dyDescent="0.3">
      <c r="A1122" s="1" t="s">
        <v>2270</v>
      </c>
      <c r="B1122" s="1" t="s">
        <v>2271</v>
      </c>
      <c r="C1122" s="1">
        <v>57</v>
      </c>
      <c r="D1122" s="1" t="s">
        <v>16</v>
      </c>
      <c r="E1122" s="1" t="s">
        <v>38</v>
      </c>
      <c r="F1122" s="1" t="s">
        <v>81</v>
      </c>
      <c r="G1122" s="9">
        <v>1235759.8</v>
      </c>
      <c r="H1122" s="1">
        <v>1048097.87</v>
      </c>
      <c r="I1122" s="1">
        <v>478</v>
      </c>
      <c r="J1122" s="1">
        <v>484</v>
      </c>
      <c r="K1122" s="1">
        <v>128757</v>
      </c>
      <c r="L1122" s="1" t="s">
        <v>19</v>
      </c>
      <c r="M1122" s="1" t="s">
        <v>20</v>
      </c>
      <c r="N1122" s="1">
        <v>3.1</v>
      </c>
    </row>
    <row r="1123" spans="1:14" x14ac:dyDescent="0.3">
      <c r="A1123" s="1" t="s">
        <v>2272</v>
      </c>
      <c r="B1123" s="1" t="s">
        <v>2273</v>
      </c>
      <c r="C1123" s="1">
        <v>19</v>
      </c>
      <c r="D1123" s="1" t="s">
        <v>23</v>
      </c>
      <c r="E1123" s="1" t="s">
        <v>76</v>
      </c>
      <c r="F1123" s="1" t="s">
        <v>18</v>
      </c>
      <c r="G1123" s="9">
        <v>310094.96000000002</v>
      </c>
      <c r="H1123" s="1">
        <v>1009135.74</v>
      </c>
      <c r="I1123" s="1">
        <v>682</v>
      </c>
      <c r="J1123" s="1">
        <v>470</v>
      </c>
      <c r="K1123" s="1">
        <v>150431</v>
      </c>
      <c r="L1123" s="1" t="s">
        <v>26</v>
      </c>
      <c r="M1123" s="1" t="s">
        <v>20</v>
      </c>
      <c r="N1123" s="1">
        <v>4.4000000000000004</v>
      </c>
    </row>
    <row r="1124" spans="1:14" x14ac:dyDescent="0.3">
      <c r="A1124" s="1" t="s">
        <v>2274</v>
      </c>
      <c r="B1124" s="1" t="s">
        <v>2275</v>
      </c>
      <c r="C1124" s="1">
        <v>48</v>
      </c>
      <c r="D1124" s="1" t="s">
        <v>16</v>
      </c>
      <c r="E1124" s="1" t="s">
        <v>38</v>
      </c>
      <c r="F1124" s="1" t="s">
        <v>18</v>
      </c>
      <c r="G1124" s="9">
        <v>1103751.51</v>
      </c>
      <c r="H1124" s="1">
        <v>360852.03</v>
      </c>
      <c r="I1124" s="1">
        <v>717</v>
      </c>
      <c r="J1124" s="1">
        <v>28</v>
      </c>
      <c r="K1124" s="1">
        <v>28971</v>
      </c>
      <c r="L1124" s="1" t="s">
        <v>19</v>
      </c>
      <c r="M1124" s="1" t="s">
        <v>33</v>
      </c>
      <c r="N1124" s="1">
        <v>3.2</v>
      </c>
    </row>
    <row r="1125" spans="1:14" x14ac:dyDescent="0.3">
      <c r="A1125" s="1" t="s">
        <v>2276</v>
      </c>
      <c r="B1125" s="1" t="s">
        <v>2277</v>
      </c>
      <c r="C1125" s="1">
        <v>32</v>
      </c>
      <c r="D1125" s="1" t="s">
        <v>23</v>
      </c>
      <c r="E1125" s="1" t="s">
        <v>38</v>
      </c>
      <c r="F1125" s="1" t="s">
        <v>18</v>
      </c>
      <c r="G1125" s="9">
        <v>632724.9</v>
      </c>
      <c r="H1125" s="1">
        <v>165814.31</v>
      </c>
      <c r="I1125" s="1">
        <v>787</v>
      </c>
      <c r="J1125" s="1">
        <v>242</v>
      </c>
      <c r="K1125" s="1">
        <v>44149</v>
      </c>
      <c r="L1125" s="1" t="s">
        <v>26</v>
      </c>
      <c r="M1125" s="1" t="s">
        <v>33</v>
      </c>
      <c r="N1125" s="1">
        <v>4.9000000000000004</v>
      </c>
    </row>
    <row r="1126" spans="1:14" x14ac:dyDescent="0.3">
      <c r="A1126" s="1" t="s">
        <v>2278</v>
      </c>
      <c r="B1126" s="1" t="s">
        <v>2279</v>
      </c>
      <c r="C1126" s="1">
        <v>48</v>
      </c>
      <c r="D1126" s="1" t="s">
        <v>16</v>
      </c>
      <c r="E1126" s="1" t="s">
        <v>45</v>
      </c>
      <c r="F1126" s="1" t="s">
        <v>25</v>
      </c>
      <c r="G1126" s="9">
        <v>196656.92</v>
      </c>
      <c r="H1126" s="1">
        <v>1640935.68</v>
      </c>
      <c r="I1126" s="1">
        <v>674</v>
      </c>
      <c r="J1126" s="1">
        <v>494</v>
      </c>
      <c r="K1126" s="1">
        <v>87334</v>
      </c>
      <c r="L1126" s="1" t="s">
        <v>40</v>
      </c>
      <c r="M1126" s="1" t="s">
        <v>20</v>
      </c>
      <c r="N1126" s="1">
        <v>3.5</v>
      </c>
    </row>
    <row r="1127" spans="1:14" x14ac:dyDescent="0.3">
      <c r="A1127" s="1" t="s">
        <v>2280</v>
      </c>
      <c r="B1127" s="1" t="s">
        <v>2281</v>
      </c>
      <c r="C1127" s="1">
        <v>32</v>
      </c>
      <c r="D1127" s="1" t="s">
        <v>16</v>
      </c>
      <c r="E1127" s="1" t="s">
        <v>17</v>
      </c>
      <c r="F1127" s="1" t="s">
        <v>81</v>
      </c>
      <c r="G1127" s="9">
        <v>199062.38</v>
      </c>
      <c r="H1127" s="1">
        <v>2355722.8199999998</v>
      </c>
      <c r="I1127" s="1">
        <v>530</v>
      </c>
      <c r="J1127" s="1">
        <v>342</v>
      </c>
      <c r="K1127" s="1">
        <v>154934</v>
      </c>
      <c r="L1127" s="1" t="s">
        <v>19</v>
      </c>
      <c r="M1127" s="1" t="s">
        <v>20</v>
      </c>
      <c r="N1127" s="1">
        <v>1.3</v>
      </c>
    </row>
    <row r="1128" spans="1:14" x14ac:dyDescent="0.3">
      <c r="A1128" s="1" t="s">
        <v>2282</v>
      </c>
      <c r="B1128" s="1" t="s">
        <v>2283</v>
      </c>
      <c r="C1128" s="1">
        <v>32</v>
      </c>
      <c r="D1128" s="1" t="s">
        <v>23</v>
      </c>
      <c r="E1128" s="1" t="s">
        <v>38</v>
      </c>
      <c r="F1128" s="1" t="s">
        <v>81</v>
      </c>
      <c r="G1128" s="9">
        <v>281017</v>
      </c>
      <c r="H1128" s="1">
        <v>1648423.4</v>
      </c>
      <c r="I1128" s="1">
        <v>636</v>
      </c>
      <c r="J1128" s="1">
        <v>368</v>
      </c>
      <c r="K1128" s="1">
        <v>85711</v>
      </c>
      <c r="L1128" s="1" t="s">
        <v>30</v>
      </c>
      <c r="M1128" s="1" t="s">
        <v>33</v>
      </c>
      <c r="N1128" s="1">
        <v>4.9000000000000004</v>
      </c>
    </row>
    <row r="1129" spans="1:14" x14ac:dyDescent="0.3">
      <c r="A1129" s="1" t="s">
        <v>2284</v>
      </c>
      <c r="B1129" s="1" t="s">
        <v>2285</v>
      </c>
      <c r="C1129" s="1">
        <v>60</v>
      </c>
      <c r="D1129" s="1" t="s">
        <v>23</v>
      </c>
      <c r="E1129" s="1" t="s">
        <v>76</v>
      </c>
      <c r="F1129" s="1" t="s">
        <v>39</v>
      </c>
      <c r="G1129" s="9">
        <v>871156</v>
      </c>
      <c r="H1129" s="1">
        <v>2336561.0299999998</v>
      </c>
      <c r="I1129" s="1">
        <v>335</v>
      </c>
      <c r="J1129" s="1">
        <v>387</v>
      </c>
      <c r="K1129" s="1">
        <v>58068</v>
      </c>
      <c r="L1129" s="1" t="s">
        <v>40</v>
      </c>
      <c r="M1129" s="1" t="s">
        <v>20</v>
      </c>
      <c r="N1129" s="1">
        <v>4.5999999999999996</v>
      </c>
    </row>
    <row r="1130" spans="1:14" x14ac:dyDescent="0.3">
      <c r="A1130" s="1" t="s">
        <v>2286</v>
      </c>
      <c r="B1130" s="1" t="s">
        <v>2287</v>
      </c>
      <c r="C1130" s="1">
        <v>27</v>
      </c>
      <c r="D1130" s="1" t="s">
        <v>23</v>
      </c>
      <c r="E1130" s="1" t="s">
        <v>45</v>
      </c>
      <c r="F1130" s="1" t="s">
        <v>81</v>
      </c>
      <c r="G1130" s="9">
        <v>56000.49</v>
      </c>
      <c r="H1130" s="1">
        <v>1986930.54</v>
      </c>
      <c r="I1130" s="1">
        <v>465</v>
      </c>
      <c r="J1130" s="1">
        <v>208</v>
      </c>
      <c r="K1130" s="1">
        <v>186364</v>
      </c>
      <c r="L1130" s="1" t="s">
        <v>40</v>
      </c>
      <c r="M1130" s="1" t="s">
        <v>33</v>
      </c>
      <c r="N1130" s="1">
        <v>2.2999999999999998</v>
      </c>
    </row>
    <row r="1131" spans="1:14" x14ac:dyDescent="0.3">
      <c r="A1131" s="1" t="s">
        <v>2288</v>
      </c>
      <c r="B1131" s="1" t="s">
        <v>2289</v>
      </c>
      <c r="C1131" s="1">
        <v>46</v>
      </c>
      <c r="D1131" s="1" t="s">
        <v>23</v>
      </c>
      <c r="E1131" s="1" t="s">
        <v>48</v>
      </c>
      <c r="F1131" s="1" t="s">
        <v>39</v>
      </c>
      <c r="G1131" s="9">
        <v>682524.42</v>
      </c>
      <c r="H1131" s="1">
        <v>657011.6</v>
      </c>
      <c r="I1131" s="1">
        <v>750</v>
      </c>
      <c r="J1131" s="1">
        <v>65</v>
      </c>
      <c r="K1131" s="1">
        <v>76318</v>
      </c>
      <c r="L1131" s="1" t="s">
        <v>26</v>
      </c>
      <c r="M1131" s="1" t="s">
        <v>33</v>
      </c>
      <c r="N1131" s="1">
        <v>4</v>
      </c>
    </row>
    <row r="1132" spans="1:14" x14ac:dyDescent="0.3">
      <c r="A1132" s="1" t="s">
        <v>2290</v>
      </c>
      <c r="B1132" s="1" t="s">
        <v>2291</v>
      </c>
      <c r="C1132" s="1">
        <v>69</v>
      </c>
      <c r="D1132" s="1" t="s">
        <v>23</v>
      </c>
      <c r="E1132" s="1" t="s">
        <v>29</v>
      </c>
      <c r="F1132" s="1" t="s">
        <v>81</v>
      </c>
      <c r="G1132" s="9">
        <v>733595.95</v>
      </c>
      <c r="H1132" s="1">
        <v>1372251.97</v>
      </c>
      <c r="I1132" s="1">
        <v>398</v>
      </c>
      <c r="J1132" s="1">
        <v>347</v>
      </c>
      <c r="K1132" s="1">
        <v>248581</v>
      </c>
      <c r="L1132" s="1" t="s">
        <v>30</v>
      </c>
      <c r="M1132" s="1" t="s">
        <v>20</v>
      </c>
      <c r="N1132" s="1">
        <v>4.4000000000000004</v>
      </c>
    </row>
    <row r="1133" spans="1:14" x14ac:dyDescent="0.3">
      <c r="A1133" s="1" t="s">
        <v>2292</v>
      </c>
      <c r="B1133" s="1" t="s">
        <v>2293</v>
      </c>
      <c r="C1133" s="1">
        <v>52</v>
      </c>
      <c r="D1133" s="1" t="s">
        <v>23</v>
      </c>
      <c r="E1133" s="1" t="s">
        <v>38</v>
      </c>
      <c r="F1133" s="1" t="s">
        <v>81</v>
      </c>
      <c r="G1133" s="9">
        <v>146402.35999999999</v>
      </c>
      <c r="H1133" s="1">
        <v>2437719.71</v>
      </c>
      <c r="I1133" s="1">
        <v>413</v>
      </c>
      <c r="J1133" s="1">
        <v>66</v>
      </c>
      <c r="K1133" s="1">
        <v>53089</v>
      </c>
      <c r="L1133" s="1" t="s">
        <v>26</v>
      </c>
      <c r="M1133" s="1" t="s">
        <v>33</v>
      </c>
      <c r="N1133" s="1">
        <v>3.2</v>
      </c>
    </row>
    <row r="1134" spans="1:14" x14ac:dyDescent="0.3">
      <c r="A1134" s="1" t="s">
        <v>2294</v>
      </c>
      <c r="B1134" s="1" t="s">
        <v>2295</v>
      </c>
      <c r="C1134" s="1">
        <v>45</v>
      </c>
      <c r="D1134" s="1" t="s">
        <v>16</v>
      </c>
      <c r="E1134" s="1" t="s">
        <v>38</v>
      </c>
      <c r="F1134" s="1" t="s">
        <v>39</v>
      </c>
      <c r="G1134" s="9">
        <v>1476545.99</v>
      </c>
      <c r="H1134" s="1">
        <v>207418.11</v>
      </c>
      <c r="I1134" s="1">
        <v>816</v>
      </c>
      <c r="J1134" s="1">
        <v>98</v>
      </c>
      <c r="K1134" s="1">
        <v>165043</v>
      </c>
      <c r="L1134" s="1" t="s">
        <v>19</v>
      </c>
      <c r="M1134" s="1" t="s">
        <v>20</v>
      </c>
      <c r="N1134" s="1">
        <v>2.6</v>
      </c>
    </row>
    <row r="1135" spans="1:14" x14ac:dyDescent="0.3">
      <c r="A1135" s="1" t="s">
        <v>2296</v>
      </c>
      <c r="B1135" s="1" t="s">
        <v>2297</v>
      </c>
      <c r="C1135" s="1">
        <v>64</v>
      </c>
      <c r="D1135" s="1" t="s">
        <v>16</v>
      </c>
      <c r="E1135" s="1" t="s">
        <v>48</v>
      </c>
      <c r="F1135" s="1" t="s">
        <v>39</v>
      </c>
      <c r="G1135" s="9">
        <v>534135.06000000006</v>
      </c>
      <c r="H1135" s="1">
        <v>1502340.75</v>
      </c>
      <c r="I1135" s="1">
        <v>455</v>
      </c>
      <c r="J1135" s="1">
        <v>293</v>
      </c>
      <c r="K1135" s="1">
        <v>215191</v>
      </c>
      <c r="L1135" s="1" t="s">
        <v>40</v>
      </c>
      <c r="M1135" s="1" t="s">
        <v>33</v>
      </c>
      <c r="N1135" s="1">
        <v>4.4000000000000004</v>
      </c>
    </row>
    <row r="1136" spans="1:14" x14ac:dyDescent="0.3">
      <c r="A1136" s="1" t="s">
        <v>2298</v>
      </c>
      <c r="B1136" s="1" t="s">
        <v>2299</v>
      </c>
      <c r="C1136" s="1">
        <v>28</v>
      </c>
      <c r="D1136" s="1" t="s">
        <v>16</v>
      </c>
      <c r="E1136" s="1" t="s">
        <v>17</v>
      </c>
      <c r="F1136" s="1" t="s">
        <v>39</v>
      </c>
      <c r="G1136" s="9">
        <v>1022193.37</v>
      </c>
      <c r="H1136" s="1">
        <v>1587268.35</v>
      </c>
      <c r="I1136" s="1">
        <v>531</v>
      </c>
      <c r="J1136" s="1">
        <v>436</v>
      </c>
      <c r="K1136" s="1">
        <v>46250</v>
      </c>
      <c r="L1136" s="1" t="s">
        <v>26</v>
      </c>
      <c r="M1136" s="1" t="s">
        <v>20</v>
      </c>
      <c r="N1136" s="1">
        <v>4.7</v>
      </c>
    </row>
    <row r="1137" spans="1:14" x14ac:dyDescent="0.3">
      <c r="A1137" s="1" t="s">
        <v>2300</v>
      </c>
      <c r="B1137" s="1" t="s">
        <v>2301</v>
      </c>
      <c r="C1137" s="1">
        <v>43</v>
      </c>
      <c r="D1137" s="1" t="s">
        <v>23</v>
      </c>
      <c r="E1137" s="1" t="s">
        <v>38</v>
      </c>
      <c r="F1137" s="1" t="s">
        <v>81</v>
      </c>
      <c r="G1137" s="9">
        <v>587709.74</v>
      </c>
      <c r="H1137" s="1">
        <v>1304371.4099999999</v>
      </c>
      <c r="I1137" s="1">
        <v>731</v>
      </c>
      <c r="J1137" s="1">
        <v>462</v>
      </c>
      <c r="K1137" s="1">
        <v>97724</v>
      </c>
      <c r="L1137" s="1" t="s">
        <v>19</v>
      </c>
      <c r="M1137" s="1" t="s">
        <v>20</v>
      </c>
      <c r="N1137" s="1">
        <v>2.9</v>
      </c>
    </row>
    <row r="1138" spans="1:14" x14ac:dyDescent="0.3">
      <c r="A1138" s="1" t="s">
        <v>2302</v>
      </c>
      <c r="B1138" s="1" t="s">
        <v>2303</v>
      </c>
      <c r="C1138" s="1">
        <v>34</v>
      </c>
      <c r="D1138" s="1" t="s">
        <v>16</v>
      </c>
      <c r="E1138" s="1" t="s">
        <v>38</v>
      </c>
      <c r="F1138" s="1" t="s">
        <v>25</v>
      </c>
      <c r="G1138" s="9">
        <v>835857.28</v>
      </c>
      <c r="H1138" s="1">
        <v>779013.38</v>
      </c>
      <c r="I1138" s="1">
        <v>368</v>
      </c>
      <c r="J1138" s="1">
        <v>35</v>
      </c>
      <c r="K1138" s="1">
        <v>205687</v>
      </c>
      <c r="L1138" s="1" t="s">
        <v>40</v>
      </c>
      <c r="M1138" s="1" t="s">
        <v>20</v>
      </c>
      <c r="N1138" s="1">
        <v>4</v>
      </c>
    </row>
    <row r="1139" spans="1:14" x14ac:dyDescent="0.3">
      <c r="A1139" s="1" t="s">
        <v>2304</v>
      </c>
      <c r="B1139" s="1" t="s">
        <v>2305</v>
      </c>
      <c r="C1139" s="1">
        <v>43</v>
      </c>
      <c r="D1139" s="1" t="s">
        <v>16</v>
      </c>
      <c r="E1139" s="1" t="s">
        <v>24</v>
      </c>
      <c r="F1139" s="1" t="s">
        <v>81</v>
      </c>
      <c r="G1139" s="9">
        <v>243367.3</v>
      </c>
      <c r="H1139" s="1">
        <v>1047523.2</v>
      </c>
      <c r="I1139" s="1">
        <v>498</v>
      </c>
      <c r="J1139" s="1">
        <v>132</v>
      </c>
      <c r="K1139" s="1">
        <v>226127</v>
      </c>
      <c r="L1139" s="1" t="s">
        <v>40</v>
      </c>
      <c r="M1139" s="1" t="s">
        <v>33</v>
      </c>
      <c r="N1139" s="1">
        <v>4.3</v>
      </c>
    </row>
    <row r="1140" spans="1:14" x14ac:dyDescent="0.3">
      <c r="A1140" s="1" t="s">
        <v>2306</v>
      </c>
      <c r="B1140" s="1" t="s">
        <v>2307</v>
      </c>
      <c r="C1140" s="1">
        <v>25</v>
      </c>
      <c r="D1140" s="1" t="s">
        <v>23</v>
      </c>
      <c r="E1140" s="1" t="s">
        <v>48</v>
      </c>
      <c r="F1140" s="1" t="s">
        <v>18</v>
      </c>
      <c r="G1140" s="9">
        <v>1110784.2</v>
      </c>
      <c r="H1140" s="1">
        <v>2360852.7599999998</v>
      </c>
      <c r="I1140" s="1">
        <v>455</v>
      </c>
      <c r="J1140" s="1">
        <v>110</v>
      </c>
      <c r="K1140" s="1">
        <v>210311</v>
      </c>
      <c r="L1140" s="1" t="s">
        <v>19</v>
      </c>
      <c r="M1140" s="1" t="s">
        <v>33</v>
      </c>
      <c r="N1140" s="1">
        <v>2.8</v>
      </c>
    </row>
    <row r="1141" spans="1:14" x14ac:dyDescent="0.3">
      <c r="A1141" s="1" t="s">
        <v>2308</v>
      </c>
      <c r="B1141" s="1" t="s">
        <v>2309</v>
      </c>
      <c r="C1141" s="1">
        <v>51</v>
      </c>
      <c r="D1141" s="1" t="s">
        <v>16</v>
      </c>
      <c r="E1141" s="1" t="s">
        <v>45</v>
      </c>
      <c r="F1141" s="1" t="s">
        <v>39</v>
      </c>
      <c r="G1141" s="9">
        <v>1158628.76</v>
      </c>
      <c r="H1141" s="1">
        <v>1496116.25</v>
      </c>
      <c r="I1141" s="1">
        <v>537</v>
      </c>
      <c r="J1141" s="1">
        <v>343</v>
      </c>
      <c r="K1141" s="1">
        <v>46899</v>
      </c>
      <c r="L1141" s="1" t="s">
        <v>19</v>
      </c>
      <c r="M1141" s="1" t="s">
        <v>33</v>
      </c>
      <c r="N1141" s="1">
        <v>2.8</v>
      </c>
    </row>
    <row r="1142" spans="1:14" x14ac:dyDescent="0.3">
      <c r="A1142" s="1" t="s">
        <v>2310</v>
      </c>
      <c r="B1142" s="1" t="s">
        <v>2311</v>
      </c>
      <c r="C1142" s="1">
        <v>35</v>
      </c>
      <c r="D1142" s="1" t="s">
        <v>16</v>
      </c>
      <c r="E1142" s="1" t="s">
        <v>45</v>
      </c>
      <c r="F1142" s="1" t="s">
        <v>81</v>
      </c>
      <c r="G1142" s="9">
        <v>575345.06000000006</v>
      </c>
      <c r="H1142" s="1">
        <v>2227791.87</v>
      </c>
      <c r="I1142" s="1">
        <v>415</v>
      </c>
      <c r="J1142" s="1">
        <v>325</v>
      </c>
      <c r="K1142" s="1">
        <v>30740</v>
      </c>
      <c r="L1142" s="1" t="s">
        <v>40</v>
      </c>
      <c r="M1142" s="1" t="s">
        <v>20</v>
      </c>
      <c r="N1142" s="1">
        <v>2.9</v>
      </c>
    </row>
    <row r="1143" spans="1:14" x14ac:dyDescent="0.3">
      <c r="A1143" s="1" t="s">
        <v>2312</v>
      </c>
      <c r="B1143" s="1" t="s">
        <v>2313</v>
      </c>
      <c r="C1143" s="1">
        <v>23</v>
      </c>
      <c r="D1143" s="1" t="s">
        <v>23</v>
      </c>
      <c r="E1143" s="1" t="s">
        <v>17</v>
      </c>
      <c r="F1143" s="1" t="s">
        <v>25</v>
      </c>
      <c r="G1143" s="9">
        <v>906957.52</v>
      </c>
      <c r="H1143" s="1">
        <v>1497617.45</v>
      </c>
      <c r="I1143" s="1">
        <v>671</v>
      </c>
      <c r="J1143" s="1">
        <v>128</v>
      </c>
      <c r="K1143" s="1">
        <v>211826</v>
      </c>
      <c r="L1143" s="1" t="s">
        <v>19</v>
      </c>
      <c r="M1143" s="1" t="s">
        <v>20</v>
      </c>
      <c r="N1143" s="1">
        <v>4.5</v>
      </c>
    </row>
    <row r="1144" spans="1:14" x14ac:dyDescent="0.3">
      <c r="A1144" s="1" t="s">
        <v>2314</v>
      </c>
      <c r="B1144" s="1" t="s">
        <v>2315</v>
      </c>
      <c r="C1144" s="1">
        <v>67</v>
      </c>
      <c r="D1144" s="1" t="s">
        <v>23</v>
      </c>
      <c r="E1144" s="1" t="s">
        <v>55</v>
      </c>
      <c r="F1144" s="1" t="s">
        <v>81</v>
      </c>
      <c r="G1144" s="9">
        <v>1264275.8700000001</v>
      </c>
      <c r="H1144" s="1">
        <v>1831106.59</v>
      </c>
      <c r="I1144" s="1">
        <v>557</v>
      </c>
      <c r="J1144" s="1">
        <v>332</v>
      </c>
      <c r="K1144" s="1">
        <v>93453</v>
      </c>
      <c r="L1144" s="1" t="s">
        <v>19</v>
      </c>
      <c r="M1144" s="1" t="s">
        <v>20</v>
      </c>
      <c r="N1144" s="1">
        <v>3</v>
      </c>
    </row>
    <row r="1145" spans="1:14" x14ac:dyDescent="0.3">
      <c r="A1145" s="1" t="s">
        <v>2316</v>
      </c>
      <c r="B1145" s="1" t="s">
        <v>2317</v>
      </c>
      <c r="C1145" s="1">
        <v>24</v>
      </c>
      <c r="D1145" s="1" t="s">
        <v>23</v>
      </c>
      <c r="E1145" s="1" t="s">
        <v>29</v>
      </c>
      <c r="F1145" s="1" t="s">
        <v>25</v>
      </c>
      <c r="G1145" s="9">
        <v>1209957.28</v>
      </c>
      <c r="H1145" s="1">
        <v>606860.55000000005</v>
      </c>
      <c r="I1145" s="1">
        <v>806</v>
      </c>
      <c r="J1145" s="1">
        <v>118</v>
      </c>
      <c r="K1145" s="1">
        <v>206933</v>
      </c>
      <c r="L1145" s="1" t="s">
        <v>30</v>
      </c>
      <c r="M1145" s="1" t="s">
        <v>33</v>
      </c>
      <c r="N1145" s="1">
        <v>3.4</v>
      </c>
    </row>
    <row r="1146" spans="1:14" x14ac:dyDescent="0.3">
      <c r="A1146" s="1" t="s">
        <v>2318</v>
      </c>
      <c r="B1146" s="1" t="s">
        <v>2319</v>
      </c>
      <c r="C1146" s="1">
        <v>20</v>
      </c>
      <c r="D1146" s="1" t="s">
        <v>16</v>
      </c>
      <c r="E1146" s="1" t="s">
        <v>48</v>
      </c>
      <c r="F1146" s="1" t="s">
        <v>25</v>
      </c>
      <c r="G1146" s="9">
        <v>166157.53</v>
      </c>
      <c r="H1146" s="1">
        <v>2095514.12</v>
      </c>
      <c r="I1146" s="1">
        <v>400</v>
      </c>
      <c r="J1146" s="1">
        <v>299</v>
      </c>
      <c r="K1146" s="1">
        <v>177722</v>
      </c>
      <c r="L1146" s="1" t="s">
        <v>30</v>
      </c>
      <c r="M1146" s="1" t="s">
        <v>20</v>
      </c>
      <c r="N1146" s="1">
        <v>1.4</v>
      </c>
    </row>
    <row r="1147" spans="1:14" x14ac:dyDescent="0.3">
      <c r="A1147" s="1" t="s">
        <v>2320</v>
      </c>
      <c r="B1147" s="1" t="s">
        <v>2321</v>
      </c>
      <c r="C1147" s="1">
        <v>40</v>
      </c>
      <c r="D1147" s="1" t="s">
        <v>23</v>
      </c>
      <c r="E1147" s="1" t="s">
        <v>17</v>
      </c>
      <c r="F1147" s="1" t="s">
        <v>18</v>
      </c>
      <c r="G1147" s="9">
        <v>1183263.8500000001</v>
      </c>
      <c r="H1147" s="1">
        <v>2130582.58</v>
      </c>
      <c r="I1147" s="1">
        <v>887</v>
      </c>
      <c r="J1147" s="1">
        <v>447</v>
      </c>
      <c r="K1147" s="1">
        <v>189630</v>
      </c>
      <c r="L1147" s="1" t="s">
        <v>40</v>
      </c>
      <c r="M1147" s="1" t="s">
        <v>20</v>
      </c>
      <c r="N1147" s="1">
        <v>3.1</v>
      </c>
    </row>
    <row r="1148" spans="1:14" x14ac:dyDescent="0.3">
      <c r="A1148" s="1" t="s">
        <v>2322</v>
      </c>
      <c r="B1148" s="1" t="s">
        <v>2323</v>
      </c>
      <c r="C1148" s="1">
        <v>19</v>
      </c>
      <c r="D1148" s="1" t="s">
        <v>23</v>
      </c>
      <c r="E1148" s="1" t="s">
        <v>55</v>
      </c>
      <c r="F1148" s="1" t="s">
        <v>81</v>
      </c>
      <c r="G1148" s="9">
        <v>1419194.89</v>
      </c>
      <c r="H1148" s="1">
        <v>247010.5</v>
      </c>
      <c r="I1148" s="1">
        <v>722</v>
      </c>
      <c r="J1148" s="1">
        <v>415</v>
      </c>
      <c r="K1148" s="1">
        <v>185287</v>
      </c>
      <c r="L1148" s="1" t="s">
        <v>26</v>
      </c>
      <c r="M1148" s="1" t="s">
        <v>33</v>
      </c>
      <c r="N1148" s="1">
        <v>1.1000000000000001</v>
      </c>
    </row>
    <row r="1149" spans="1:14" x14ac:dyDescent="0.3">
      <c r="A1149" s="1" t="s">
        <v>2324</v>
      </c>
      <c r="B1149" s="1" t="s">
        <v>2325</v>
      </c>
      <c r="C1149" s="1">
        <v>33</v>
      </c>
      <c r="D1149" s="1" t="s">
        <v>23</v>
      </c>
      <c r="E1149" s="1" t="s">
        <v>38</v>
      </c>
      <c r="F1149" s="1" t="s">
        <v>39</v>
      </c>
      <c r="G1149" s="9">
        <v>671780.45</v>
      </c>
      <c r="H1149" s="1">
        <v>119497.78</v>
      </c>
      <c r="I1149" s="1">
        <v>769</v>
      </c>
      <c r="J1149" s="1">
        <v>362</v>
      </c>
      <c r="K1149" s="1">
        <v>92517</v>
      </c>
      <c r="L1149" s="1" t="s">
        <v>26</v>
      </c>
      <c r="M1149" s="1" t="s">
        <v>33</v>
      </c>
      <c r="N1149" s="1">
        <v>5</v>
      </c>
    </row>
    <row r="1150" spans="1:14" x14ac:dyDescent="0.3">
      <c r="A1150" s="1" t="s">
        <v>2326</v>
      </c>
      <c r="B1150" s="1" t="s">
        <v>2327</v>
      </c>
      <c r="C1150" s="1">
        <v>66</v>
      </c>
      <c r="D1150" s="1" t="s">
        <v>23</v>
      </c>
      <c r="E1150" s="1" t="s">
        <v>24</v>
      </c>
      <c r="F1150" s="1" t="s">
        <v>81</v>
      </c>
      <c r="G1150" s="9">
        <v>1172547.5</v>
      </c>
      <c r="H1150" s="1">
        <v>430145.04</v>
      </c>
      <c r="I1150" s="1">
        <v>811</v>
      </c>
      <c r="J1150" s="1">
        <v>443</v>
      </c>
      <c r="K1150" s="1">
        <v>111367</v>
      </c>
      <c r="L1150" s="1" t="s">
        <v>26</v>
      </c>
      <c r="M1150" s="1" t="s">
        <v>20</v>
      </c>
      <c r="N1150" s="1">
        <v>1.4</v>
      </c>
    </row>
    <row r="1151" spans="1:14" x14ac:dyDescent="0.3">
      <c r="A1151" s="1" t="s">
        <v>2328</v>
      </c>
      <c r="B1151" s="1" t="s">
        <v>2329</v>
      </c>
      <c r="C1151" s="1">
        <v>64</v>
      </c>
      <c r="D1151" s="1" t="s">
        <v>23</v>
      </c>
      <c r="E1151" s="1" t="s">
        <v>24</v>
      </c>
      <c r="F1151" s="1" t="s">
        <v>81</v>
      </c>
      <c r="G1151" s="9">
        <v>960980.35</v>
      </c>
      <c r="H1151" s="1">
        <v>782310.86</v>
      </c>
      <c r="I1151" s="1">
        <v>809</v>
      </c>
      <c r="J1151" s="1">
        <v>332</v>
      </c>
      <c r="K1151" s="1">
        <v>43706</v>
      </c>
      <c r="L1151" s="1" t="s">
        <v>30</v>
      </c>
      <c r="M1151" s="1" t="s">
        <v>33</v>
      </c>
      <c r="N1151" s="1">
        <v>1.7</v>
      </c>
    </row>
    <row r="1152" spans="1:14" x14ac:dyDescent="0.3">
      <c r="A1152" s="1" t="s">
        <v>2330</v>
      </c>
      <c r="B1152" s="1" t="s">
        <v>2331</v>
      </c>
      <c r="C1152" s="1">
        <v>39</v>
      </c>
      <c r="D1152" s="1" t="s">
        <v>16</v>
      </c>
      <c r="E1152" s="1" t="s">
        <v>29</v>
      </c>
      <c r="F1152" s="1" t="s">
        <v>39</v>
      </c>
      <c r="G1152" s="9">
        <v>659464.80000000005</v>
      </c>
      <c r="H1152" s="1">
        <v>903658.04</v>
      </c>
      <c r="I1152" s="1">
        <v>463</v>
      </c>
      <c r="J1152" s="1">
        <v>496</v>
      </c>
      <c r="K1152" s="1">
        <v>231261</v>
      </c>
      <c r="L1152" s="1" t="s">
        <v>26</v>
      </c>
      <c r="M1152" s="1" t="s">
        <v>33</v>
      </c>
      <c r="N1152" s="1">
        <v>1.7</v>
      </c>
    </row>
    <row r="1153" spans="1:14" x14ac:dyDescent="0.3">
      <c r="A1153" s="1" t="s">
        <v>2332</v>
      </c>
      <c r="B1153" s="1" t="s">
        <v>2333</v>
      </c>
      <c r="C1153" s="1">
        <v>66</v>
      </c>
      <c r="D1153" s="1" t="s">
        <v>23</v>
      </c>
      <c r="E1153" s="1" t="s">
        <v>55</v>
      </c>
      <c r="F1153" s="1" t="s">
        <v>39</v>
      </c>
      <c r="G1153" s="9">
        <v>809690.27</v>
      </c>
      <c r="H1153" s="1">
        <v>994928.08</v>
      </c>
      <c r="I1153" s="1">
        <v>377</v>
      </c>
      <c r="J1153" s="1">
        <v>106</v>
      </c>
      <c r="K1153" s="1">
        <v>166779</v>
      </c>
      <c r="L1153" s="1" t="s">
        <v>26</v>
      </c>
      <c r="M1153" s="1" t="s">
        <v>33</v>
      </c>
      <c r="N1153" s="1">
        <v>1.4</v>
      </c>
    </row>
    <row r="1154" spans="1:14" x14ac:dyDescent="0.3">
      <c r="A1154" s="1" t="s">
        <v>2334</v>
      </c>
      <c r="B1154" s="1" t="s">
        <v>2335</v>
      </c>
      <c r="C1154" s="1">
        <v>43</v>
      </c>
      <c r="D1154" s="1" t="s">
        <v>16</v>
      </c>
      <c r="E1154" s="1" t="s">
        <v>48</v>
      </c>
      <c r="F1154" s="1" t="s">
        <v>39</v>
      </c>
      <c r="G1154" s="9">
        <v>1382281.2</v>
      </c>
      <c r="H1154" s="1">
        <v>259065.07</v>
      </c>
      <c r="I1154" s="1">
        <v>600</v>
      </c>
      <c r="J1154" s="1">
        <v>319</v>
      </c>
      <c r="K1154" s="1">
        <v>54873</v>
      </c>
      <c r="L1154" s="1" t="s">
        <v>30</v>
      </c>
      <c r="M1154" s="1" t="s">
        <v>20</v>
      </c>
      <c r="N1154" s="1">
        <v>3.3</v>
      </c>
    </row>
    <row r="1155" spans="1:14" x14ac:dyDescent="0.3">
      <c r="A1155" s="1" t="s">
        <v>2336</v>
      </c>
      <c r="B1155" s="1" t="s">
        <v>2337</v>
      </c>
      <c r="C1155" s="1">
        <v>33</v>
      </c>
      <c r="D1155" s="1" t="s">
        <v>16</v>
      </c>
      <c r="E1155" s="1" t="s">
        <v>24</v>
      </c>
      <c r="F1155" s="1" t="s">
        <v>39</v>
      </c>
      <c r="G1155" s="9">
        <v>236742.66</v>
      </c>
      <c r="H1155" s="1">
        <v>2481693.2000000002</v>
      </c>
      <c r="I1155" s="1">
        <v>326</v>
      </c>
      <c r="J1155" s="1">
        <v>258</v>
      </c>
      <c r="K1155" s="1">
        <v>163651</v>
      </c>
      <c r="L1155" s="1" t="s">
        <v>30</v>
      </c>
      <c r="M1155" s="1" t="s">
        <v>20</v>
      </c>
      <c r="N1155" s="1">
        <v>1.9</v>
      </c>
    </row>
    <row r="1156" spans="1:14" x14ac:dyDescent="0.3">
      <c r="A1156" s="1" t="s">
        <v>2338</v>
      </c>
      <c r="B1156" s="1" t="s">
        <v>2339</v>
      </c>
      <c r="C1156" s="1">
        <v>27</v>
      </c>
      <c r="D1156" s="1" t="s">
        <v>16</v>
      </c>
      <c r="E1156" s="1" t="s">
        <v>17</v>
      </c>
      <c r="F1156" s="1" t="s">
        <v>39</v>
      </c>
      <c r="G1156" s="9">
        <v>448705.74</v>
      </c>
      <c r="H1156" s="1">
        <v>2411476.21</v>
      </c>
      <c r="I1156" s="1">
        <v>794</v>
      </c>
      <c r="J1156" s="1">
        <v>434</v>
      </c>
      <c r="K1156" s="1">
        <v>23255</v>
      </c>
      <c r="L1156" s="1" t="s">
        <v>30</v>
      </c>
      <c r="M1156" s="1" t="s">
        <v>33</v>
      </c>
      <c r="N1156" s="1">
        <v>2.8</v>
      </c>
    </row>
    <row r="1157" spans="1:14" x14ac:dyDescent="0.3">
      <c r="A1157" s="1" t="s">
        <v>2340</v>
      </c>
      <c r="B1157" s="1" t="s">
        <v>2341</v>
      </c>
      <c r="C1157" s="1">
        <v>65</v>
      </c>
      <c r="D1157" s="1" t="s">
        <v>16</v>
      </c>
      <c r="E1157" s="1" t="s">
        <v>48</v>
      </c>
      <c r="F1157" s="1" t="s">
        <v>81</v>
      </c>
      <c r="G1157" s="9">
        <v>1061585.1599999999</v>
      </c>
      <c r="H1157" s="1">
        <v>2454790.48</v>
      </c>
      <c r="I1157" s="1">
        <v>569</v>
      </c>
      <c r="J1157" s="1">
        <v>225</v>
      </c>
      <c r="K1157" s="1">
        <v>88548</v>
      </c>
      <c r="L1157" s="1" t="s">
        <v>19</v>
      </c>
      <c r="M1157" s="1" t="s">
        <v>20</v>
      </c>
      <c r="N1157" s="1">
        <v>2.5</v>
      </c>
    </row>
    <row r="1158" spans="1:14" x14ac:dyDescent="0.3">
      <c r="A1158" s="1" t="s">
        <v>2342</v>
      </c>
      <c r="B1158" s="1" t="s">
        <v>2343</v>
      </c>
      <c r="C1158" s="1">
        <v>38</v>
      </c>
      <c r="D1158" s="1" t="s">
        <v>23</v>
      </c>
      <c r="E1158" s="1" t="s">
        <v>48</v>
      </c>
      <c r="F1158" s="1" t="s">
        <v>18</v>
      </c>
      <c r="G1158" s="9">
        <v>1242034.6000000001</v>
      </c>
      <c r="H1158" s="1">
        <v>1756087.04</v>
      </c>
      <c r="I1158" s="1">
        <v>851</v>
      </c>
      <c r="J1158" s="1">
        <v>301</v>
      </c>
      <c r="K1158" s="1">
        <v>245429</v>
      </c>
      <c r="L1158" s="1" t="s">
        <v>40</v>
      </c>
      <c r="M1158" s="1" t="s">
        <v>33</v>
      </c>
      <c r="N1158" s="1">
        <v>1.5</v>
      </c>
    </row>
    <row r="1159" spans="1:14" x14ac:dyDescent="0.3">
      <c r="A1159" s="1" t="s">
        <v>2344</v>
      </c>
      <c r="B1159" s="1" t="s">
        <v>2345</v>
      </c>
      <c r="C1159" s="1">
        <v>63</v>
      </c>
      <c r="D1159" s="1" t="s">
        <v>16</v>
      </c>
      <c r="E1159" s="1" t="s">
        <v>45</v>
      </c>
      <c r="F1159" s="1" t="s">
        <v>25</v>
      </c>
      <c r="G1159" s="9">
        <v>969224.11</v>
      </c>
      <c r="H1159" s="1">
        <v>1385182.06</v>
      </c>
      <c r="I1159" s="1">
        <v>529</v>
      </c>
      <c r="J1159" s="1">
        <v>243</v>
      </c>
      <c r="K1159" s="1">
        <v>204062</v>
      </c>
      <c r="L1159" s="1" t="s">
        <v>30</v>
      </c>
      <c r="M1159" s="1" t="s">
        <v>33</v>
      </c>
      <c r="N1159" s="1">
        <v>2.1</v>
      </c>
    </row>
    <row r="1160" spans="1:14" x14ac:dyDescent="0.3">
      <c r="A1160" s="1" t="s">
        <v>2346</v>
      </c>
      <c r="B1160" s="1" t="s">
        <v>2347</v>
      </c>
      <c r="C1160" s="1">
        <v>22</v>
      </c>
      <c r="D1160" s="1" t="s">
        <v>16</v>
      </c>
      <c r="E1160" s="1" t="s">
        <v>29</v>
      </c>
      <c r="F1160" s="1" t="s">
        <v>81</v>
      </c>
      <c r="G1160" s="9">
        <v>38062.199999999997</v>
      </c>
      <c r="H1160" s="1">
        <v>1121170.68</v>
      </c>
      <c r="I1160" s="1">
        <v>358</v>
      </c>
      <c r="J1160" s="1">
        <v>463</v>
      </c>
      <c r="K1160" s="1">
        <v>64916</v>
      </c>
      <c r="L1160" s="1" t="s">
        <v>19</v>
      </c>
      <c r="M1160" s="1" t="s">
        <v>33</v>
      </c>
      <c r="N1160" s="1">
        <v>2.4</v>
      </c>
    </row>
    <row r="1161" spans="1:14" x14ac:dyDescent="0.3">
      <c r="A1161" s="1" t="s">
        <v>2348</v>
      </c>
      <c r="B1161" s="1" t="s">
        <v>2349</v>
      </c>
      <c r="C1161" s="1">
        <v>54</v>
      </c>
      <c r="D1161" s="1" t="s">
        <v>16</v>
      </c>
      <c r="E1161" s="1" t="s">
        <v>17</v>
      </c>
      <c r="F1161" s="1" t="s">
        <v>39</v>
      </c>
      <c r="G1161" s="9">
        <v>1421289.94</v>
      </c>
      <c r="H1161" s="1">
        <v>1819401.25</v>
      </c>
      <c r="I1161" s="1">
        <v>802</v>
      </c>
      <c r="J1161" s="1">
        <v>225</v>
      </c>
      <c r="K1161" s="1">
        <v>86063</v>
      </c>
      <c r="L1161" s="1" t="s">
        <v>30</v>
      </c>
      <c r="M1161" s="1" t="s">
        <v>33</v>
      </c>
      <c r="N1161" s="1">
        <v>3.8</v>
      </c>
    </row>
    <row r="1162" spans="1:14" x14ac:dyDescent="0.3">
      <c r="A1162" s="1" t="s">
        <v>2350</v>
      </c>
      <c r="B1162" s="1" t="s">
        <v>2351</v>
      </c>
      <c r="C1162" s="1">
        <v>52</v>
      </c>
      <c r="D1162" s="1" t="s">
        <v>23</v>
      </c>
      <c r="E1162" s="1" t="s">
        <v>38</v>
      </c>
      <c r="F1162" s="1" t="s">
        <v>81</v>
      </c>
      <c r="G1162" s="9">
        <v>1013628.09</v>
      </c>
      <c r="H1162" s="1">
        <v>826333.11</v>
      </c>
      <c r="I1162" s="1">
        <v>883</v>
      </c>
      <c r="J1162" s="1">
        <v>413</v>
      </c>
      <c r="K1162" s="1">
        <v>202768</v>
      </c>
      <c r="L1162" s="1" t="s">
        <v>19</v>
      </c>
      <c r="M1162" s="1" t="s">
        <v>20</v>
      </c>
      <c r="N1162" s="1">
        <v>4.5</v>
      </c>
    </row>
    <row r="1163" spans="1:14" x14ac:dyDescent="0.3">
      <c r="A1163" s="1" t="s">
        <v>2352</v>
      </c>
      <c r="B1163" s="1" t="s">
        <v>2353</v>
      </c>
      <c r="C1163" s="1">
        <v>63</v>
      </c>
      <c r="D1163" s="1" t="s">
        <v>23</v>
      </c>
      <c r="E1163" s="1" t="s">
        <v>38</v>
      </c>
      <c r="F1163" s="1" t="s">
        <v>39</v>
      </c>
      <c r="G1163" s="9">
        <v>540732.52</v>
      </c>
      <c r="H1163" s="1">
        <v>299208.46000000002</v>
      </c>
      <c r="I1163" s="1">
        <v>372</v>
      </c>
      <c r="J1163" s="1">
        <v>319</v>
      </c>
      <c r="K1163" s="1">
        <v>217778</v>
      </c>
      <c r="L1163" s="1" t="s">
        <v>40</v>
      </c>
      <c r="M1163" s="1" t="s">
        <v>20</v>
      </c>
      <c r="N1163" s="1">
        <v>1.3</v>
      </c>
    </row>
    <row r="1164" spans="1:14" x14ac:dyDescent="0.3">
      <c r="A1164" s="1" t="s">
        <v>2354</v>
      </c>
      <c r="B1164" s="1" t="s">
        <v>2355</v>
      </c>
      <c r="C1164" s="1">
        <v>29</v>
      </c>
      <c r="D1164" s="1" t="s">
        <v>23</v>
      </c>
      <c r="E1164" s="1" t="s">
        <v>17</v>
      </c>
      <c r="F1164" s="1" t="s">
        <v>25</v>
      </c>
      <c r="G1164" s="9">
        <v>975863.49</v>
      </c>
      <c r="H1164" s="1">
        <v>1237437.6299999999</v>
      </c>
      <c r="I1164" s="1">
        <v>422</v>
      </c>
      <c r="J1164" s="1">
        <v>174</v>
      </c>
      <c r="K1164" s="1">
        <v>27729</v>
      </c>
      <c r="L1164" s="1" t="s">
        <v>30</v>
      </c>
      <c r="M1164" s="1" t="s">
        <v>33</v>
      </c>
      <c r="N1164" s="1">
        <v>1.4</v>
      </c>
    </row>
    <row r="1165" spans="1:14" x14ac:dyDescent="0.3">
      <c r="A1165" s="1" t="s">
        <v>2356</v>
      </c>
      <c r="B1165" s="1" t="s">
        <v>2357</v>
      </c>
      <c r="C1165" s="1">
        <v>26</v>
      </c>
      <c r="D1165" s="1" t="s">
        <v>23</v>
      </c>
      <c r="E1165" s="1" t="s">
        <v>45</v>
      </c>
      <c r="F1165" s="1" t="s">
        <v>18</v>
      </c>
      <c r="G1165" s="9">
        <v>518226.53</v>
      </c>
      <c r="H1165" s="1">
        <v>239658.25</v>
      </c>
      <c r="I1165" s="1">
        <v>663</v>
      </c>
      <c r="J1165" s="1">
        <v>95</v>
      </c>
      <c r="K1165" s="1">
        <v>242105</v>
      </c>
      <c r="L1165" s="1" t="s">
        <v>40</v>
      </c>
      <c r="M1165" s="1" t="s">
        <v>33</v>
      </c>
      <c r="N1165" s="1">
        <v>3.8</v>
      </c>
    </row>
    <row r="1166" spans="1:14" x14ac:dyDescent="0.3">
      <c r="A1166" s="1" t="s">
        <v>2358</v>
      </c>
      <c r="B1166" s="1" t="s">
        <v>2359</v>
      </c>
      <c r="C1166" s="1">
        <v>43</v>
      </c>
      <c r="D1166" s="1" t="s">
        <v>16</v>
      </c>
      <c r="E1166" s="1" t="s">
        <v>55</v>
      </c>
      <c r="F1166" s="1" t="s">
        <v>18</v>
      </c>
      <c r="G1166" s="9">
        <v>343827.11</v>
      </c>
      <c r="H1166" s="1">
        <v>2464090.06</v>
      </c>
      <c r="I1166" s="1">
        <v>383</v>
      </c>
      <c r="J1166" s="1">
        <v>178</v>
      </c>
      <c r="K1166" s="1">
        <v>72587</v>
      </c>
      <c r="L1166" s="1" t="s">
        <v>19</v>
      </c>
      <c r="M1166" s="1" t="s">
        <v>20</v>
      </c>
      <c r="N1166" s="1">
        <v>2.8</v>
      </c>
    </row>
    <row r="1167" spans="1:14" x14ac:dyDescent="0.3">
      <c r="A1167" s="1" t="s">
        <v>2360</v>
      </c>
      <c r="B1167" s="1" t="s">
        <v>2361</v>
      </c>
      <c r="C1167" s="1">
        <v>61</v>
      </c>
      <c r="D1167" s="1" t="s">
        <v>23</v>
      </c>
      <c r="E1167" s="1" t="s">
        <v>55</v>
      </c>
      <c r="F1167" s="1" t="s">
        <v>18</v>
      </c>
      <c r="G1167" s="9">
        <v>147758.03</v>
      </c>
      <c r="H1167" s="1">
        <v>4322.25</v>
      </c>
      <c r="I1167" s="1">
        <v>841</v>
      </c>
      <c r="J1167" s="1">
        <v>11</v>
      </c>
      <c r="K1167" s="1">
        <v>117818</v>
      </c>
      <c r="L1167" s="1" t="s">
        <v>26</v>
      </c>
      <c r="M1167" s="1" t="s">
        <v>20</v>
      </c>
      <c r="N1167" s="1">
        <v>1</v>
      </c>
    </row>
    <row r="1168" spans="1:14" x14ac:dyDescent="0.3">
      <c r="A1168" s="1" t="s">
        <v>2362</v>
      </c>
      <c r="B1168" s="1" t="s">
        <v>2363</v>
      </c>
      <c r="C1168" s="1">
        <v>29</v>
      </c>
      <c r="D1168" s="1" t="s">
        <v>16</v>
      </c>
      <c r="E1168" s="1" t="s">
        <v>38</v>
      </c>
      <c r="F1168" s="1" t="s">
        <v>81</v>
      </c>
      <c r="G1168" s="9">
        <v>956540.23</v>
      </c>
      <c r="H1168" s="1">
        <v>1245503.3899999999</v>
      </c>
      <c r="I1168" s="1">
        <v>848</v>
      </c>
      <c r="J1168" s="1">
        <v>116</v>
      </c>
      <c r="K1168" s="1">
        <v>69409</v>
      </c>
      <c r="L1168" s="1" t="s">
        <v>40</v>
      </c>
      <c r="M1168" s="1" t="s">
        <v>33</v>
      </c>
      <c r="N1168" s="1">
        <v>4.9000000000000004</v>
      </c>
    </row>
    <row r="1169" spans="1:14" x14ac:dyDescent="0.3">
      <c r="A1169" s="1" t="s">
        <v>2364</v>
      </c>
      <c r="B1169" s="1" t="s">
        <v>2365</v>
      </c>
      <c r="C1169" s="1">
        <v>63</v>
      </c>
      <c r="D1169" s="1" t="s">
        <v>16</v>
      </c>
      <c r="E1169" s="1" t="s">
        <v>76</v>
      </c>
      <c r="F1169" s="1" t="s">
        <v>18</v>
      </c>
      <c r="G1169" s="9">
        <v>1320109.56</v>
      </c>
      <c r="H1169" s="1">
        <v>443730.03</v>
      </c>
      <c r="I1169" s="1">
        <v>452</v>
      </c>
      <c r="J1169" s="1">
        <v>421</v>
      </c>
      <c r="K1169" s="1">
        <v>241766</v>
      </c>
      <c r="L1169" s="1" t="s">
        <v>26</v>
      </c>
      <c r="M1169" s="1" t="s">
        <v>33</v>
      </c>
      <c r="N1169" s="1">
        <v>4.3</v>
      </c>
    </row>
    <row r="1170" spans="1:14" x14ac:dyDescent="0.3">
      <c r="A1170" s="1" t="s">
        <v>2366</v>
      </c>
      <c r="B1170" s="1" t="s">
        <v>2367</v>
      </c>
      <c r="C1170" s="1">
        <v>24</v>
      </c>
      <c r="D1170" s="1" t="s">
        <v>16</v>
      </c>
      <c r="E1170" s="1" t="s">
        <v>38</v>
      </c>
      <c r="F1170" s="1" t="s">
        <v>81</v>
      </c>
      <c r="G1170" s="9">
        <v>1026132.92</v>
      </c>
      <c r="H1170" s="1">
        <v>1475265.82</v>
      </c>
      <c r="I1170" s="1">
        <v>471</v>
      </c>
      <c r="J1170" s="1">
        <v>465</v>
      </c>
      <c r="K1170" s="1">
        <v>111502</v>
      </c>
      <c r="L1170" s="1" t="s">
        <v>30</v>
      </c>
      <c r="M1170" s="1" t="s">
        <v>33</v>
      </c>
      <c r="N1170" s="1">
        <v>1.4</v>
      </c>
    </row>
    <row r="1171" spans="1:14" x14ac:dyDescent="0.3">
      <c r="A1171" s="1" t="s">
        <v>2368</v>
      </c>
      <c r="B1171" s="1" t="s">
        <v>2369</v>
      </c>
      <c r="C1171" s="1">
        <v>68</v>
      </c>
      <c r="D1171" s="1" t="s">
        <v>16</v>
      </c>
      <c r="E1171" s="1" t="s">
        <v>24</v>
      </c>
      <c r="F1171" s="1" t="s">
        <v>25</v>
      </c>
      <c r="G1171" s="9">
        <v>1416296.6</v>
      </c>
      <c r="H1171" s="1">
        <v>1671762.7</v>
      </c>
      <c r="I1171" s="1">
        <v>367</v>
      </c>
      <c r="J1171" s="1">
        <v>178</v>
      </c>
      <c r="K1171" s="1">
        <v>137423</v>
      </c>
      <c r="L1171" s="1" t="s">
        <v>40</v>
      </c>
      <c r="M1171" s="1" t="s">
        <v>33</v>
      </c>
      <c r="N1171" s="1">
        <v>2</v>
      </c>
    </row>
    <row r="1172" spans="1:14" x14ac:dyDescent="0.3">
      <c r="A1172" s="1" t="s">
        <v>2370</v>
      </c>
      <c r="B1172" s="1" t="s">
        <v>2371</v>
      </c>
      <c r="C1172" s="1">
        <v>20</v>
      </c>
      <c r="D1172" s="1" t="s">
        <v>16</v>
      </c>
      <c r="E1172" s="1" t="s">
        <v>29</v>
      </c>
      <c r="F1172" s="1" t="s">
        <v>81</v>
      </c>
      <c r="G1172" s="9">
        <v>92643.16</v>
      </c>
      <c r="H1172" s="1">
        <v>2455864.08</v>
      </c>
      <c r="I1172" s="1">
        <v>791</v>
      </c>
      <c r="J1172" s="1">
        <v>420</v>
      </c>
      <c r="K1172" s="1">
        <v>113931</v>
      </c>
      <c r="L1172" s="1" t="s">
        <v>30</v>
      </c>
      <c r="M1172" s="1" t="s">
        <v>20</v>
      </c>
      <c r="N1172" s="1">
        <v>4.4000000000000004</v>
      </c>
    </row>
    <row r="1173" spans="1:14" x14ac:dyDescent="0.3">
      <c r="A1173" s="1" t="s">
        <v>2372</v>
      </c>
      <c r="B1173" s="1" t="s">
        <v>2373</v>
      </c>
      <c r="C1173" s="1">
        <v>36</v>
      </c>
      <c r="D1173" s="1" t="s">
        <v>23</v>
      </c>
      <c r="E1173" s="1" t="s">
        <v>17</v>
      </c>
      <c r="F1173" s="1" t="s">
        <v>25</v>
      </c>
      <c r="G1173" s="9">
        <v>207536.12</v>
      </c>
      <c r="H1173" s="1">
        <v>1908806.53</v>
      </c>
      <c r="I1173" s="1">
        <v>599</v>
      </c>
      <c r="J1173" s="1">
        <v>488</v>
      </c>
      <c r="K1173" s="1">
        <v>103969</v>
      </c>
      <c r="L1173" s="1" t="s">
        <v>19</v>
      </c>
      <c r="M1173" s="1" t="s">
        <v>33</v>
      </c>
      <c r="N1173" s="1">
        <v>3.5</v>
      </c>
    </row>
    <row r="1174" spans="1:14" x14ac:dyDescent="0.3">
      <c r="A1174" s="1" t="s">
        <v>2374</v>
      </c>
      <c r="B1174" s="1" t="s">
        <v>2375</v>
      </c>
      <c r="C1174" s="1">
        <v>19</v>
      </c>
      <c r="D1174" s="1" t="s">
        <v>23</v>
      </c>
      <c r="E1174" s="1" t="s">
        <v>76</v>
      </c>
      <c r="F1174" s="1" t="s">
        <v>18</v>
      </c>
      <c r="G1174" s="9">
        <v>160956.16</v>
      </c>
      <c r="H1174" s="1">
        <v>1403132.48</v>
      </c>
      <c r="I1174" s="1">
        <v>698</v>
      </c>
      <c r="J1174" s="1">
        <v>161</v>
      </c>
      <c r="K1174" s="1">
        <v>148775</v>
      </c>
      <c r="L1174" s="1" t="s">
        <v>40</v>
      </c>
      <c r="M1174" s="1" t="s">
        <v>20</v>
      </c>
      <c r="N1174" s="1">
        <v>3</v>
      </c>
    </row>
    <row r="1175" spans="1:14" x14ac:dyDescent="0.3">
      <c r="A1175" s="1" t="s">
        <v>2376</v>
      </c>
      <c r="B1175" s="1" t="s">
        <v>2377</v>
      </c>
      <c r="C1175" s="1">
        <v>37</v>
      </c>
      <c r="D1175" s="1" t="s">
        <v>16</v>
      </c>
      <c r="E1175" s="1" t="s">
        <v>76</v>
      </c>
      <c r="F1175" s="1" t="s">
        <v>18</v>
      </c>
      <c r="G1175" s="9">
        <v>1123037.82</v>
      </c>
      <c r="H1175" s="1">
        <v>1428187.28</v>
      </c>
      <c r="I1175" s="1">
        <v>477</v>
      </c>
      <c r="J1175" s="1">
        <v>333</v>
      </c>
      <c r="K1175" s="1">
        <v>174001</v>
      </c>
      <c r="L1175" s="1" t="s">
        <v>26</v>
      </c>
      <c r="M1175" s="1" t="s">
        <v>33</v>
      </c>
      <c r="N1175" s="1">
        <v>2.2999999999999998</v>
      </c>
    </row>
    <row r="1176" spans="1:14" x14ac:dyDescent="0.3">
      <c r="A1176" s="1" t="s">
        <v>2378</v>
      </c>
      <c r="B1176" s="1" t="s">
        <v>2379</v>
      </c>
      <c r="C1176" s="1">
        <v>30</v>
      </c>
      <c r="D1176" s="1" t="s">
        <v>16</v>
      </c>
      <c r="E1176" s="1" t="s">
        <v>48</v>
      </c>
      <c r="F1176" s="1" t="s">
        <v>18</v>
      </c>
      <c r="G1176" s="9">
        <v>1446459.73</v>
      </c>
      <c r="H1176" s="1">
        <v>131088.14000000001</v>
      </c>
      <c r="I1176" s="1">
        <v>744</v>
      </c>
      <c r="J1176" s="1">
        <v>383</v>
      </c>
      <c r="K1176" s="1">
        <v>112213</v>
      </c>
      <c r="L1176" s="1" t="s">
        <v>40</v>
      </c>
      <c r="M1176" s="1" t="s">
        <v>20</v>
      </c>
      <c r="N1176" s="1">
        <v>3</v>
      </c>
    </row>
    <row r="1177" spans="1:14" x14ac:dyDescent="0.3">
      <c r="A1177" s="1" t="s">
        <v>2380</v>
      </c>
      <c r="B1177" s="1" t="s">
        <v>2381</v>
      </c>
      <c r="C1177" s="1">
        <v>47</v>
      </c>
      <c r="D1177" s="1" t="s">
        <v>16</v>
      </c>
      <c r="E1177" s="1" t="s">
        <v>76</v>
      </c>
      <c r="F1177" s="1" t="s">
        <v>18</v>
      </c>
      <c r="G1177" s="9">
        <v>1339072.3400000001</v>
      </c>
      <c r="H1177" s="1">
        <v>1781026.45</v>
      </c>
      <c r="I1177" s="1">
        <v>374</v>
      </c>
      <c r="J1177" s="1">
        <v>370</v>
      </c>
      <c r="K1177" s="1">
        <v>68681</v>
      </c>
      <c r="L1177" s="1" t="s">
        <v>30</v>
      </c>
      <c r="M1177" s="1" t="s">
        <v>20</v>
      </c>
      <c r="N1177" s="1">
        <v>1.8</v>
      </c>
    </row>
    <row r="1178" spans="1:14" x14ac:dyDescent="0.3">
      <c r="A1178" s="1" t="s">
        <v>2382</v>
      </c>
      <c r="B1178" s="1" t="s">
        <v>2383</v>
      </c>
      <c r="C1178" s="1">
        <v>62</v>
      </c>
      <c r="D1178" s="1" t="s">
        <v>23</v>
      </c>
      <c r="E1178" s="1" t="s">
        <v>38</v>
      </c>
      <c r="F1178" s="1" t="s">
        <v>25</v>
      </c>
      <c r="G1178" s="9">
        <v>1386846.79</v>
      </c>
      <c r="H1178" s="1">
        <v>11846.96</v>
      </c>
      <c r="I1178" s="1">
        <v>546</v>
      </c>
      <c r="J1178" s="1">
        <v>342</v>
      </c>
      <c r="K1178" s="1">
        <v>50495</v>
      </c>
      <c r="L1178" s="1" t="s">
        <v>40</v>
      </c>
      <c r="M1178" s="1" t="s">
        <v>33</v>
      </c>
      <c r="N1178" s="1">
        <v>4.3</v>
      </c>
    </row>
    <row r="1179" spans="1:14" x14ac:dyDescent="0.3">
      <c r="A1179" s="1" t="s">
        <v>2384</v>
      </c>
      <c r="B1179" s="1" t="s">
        <v>2385</v>
      </c>
      <c r="C1179" s="1">
        <v>43</v>
      </c>
      <c r="D1179" s="1" t="s">
        <v>23</v>
      </c>
      <c r="E1179" s="1" t="s">
        <v>24</v>
      </c>
      <c r="F1179" s="1" t="s">
        <v>81</v>
      </c>
      <c r="G1179" s="9">
        <v>238113.84</v>
      </c>
      <c r="H1179" s="1">
        <v>1496879.09</v>
      </c>
      <c r="I1179" s="1">
        <v>564</v>
      </c>
      <c r="J1179" s="1">
        <v>456</v>
      </c>
      <c r="K1179" s="1">
        <v>31732</v>
      </c>
      <c r="L1179" s="1" t="s">
        <v>30</v>
      </c>
      <c r="M1179" s="1" t="s">
        <v>20</v>
      </c>
      <c r="N1179" s="1">
        <v>4.7</v>
      </c>
    </row>
    <row r="1180" spans="1:14" x14ac:dyDescent="0.3">
      <c r="A1180" s="1" t="s">
        <v>2386</v>
      </c>
      <c r="B1180" s="1" t="s">
        <v>2387</v>
      </c>
      <c r="C1180" s="1">
        <v>44</v>
      </c>
      <c r="D1180" s="1" t="s">
        <v>23</v>
      </c>
      <c r="E1180" s="1" t="s">
        <v>76</v>
      </c>
      <c r="F1180" s="1" t="s">
        <v>25</v>
      </c>
      <c r="G1180" s="9">
        <v>623391.57999999996</v>
      </c>
      <c r="H1180" s="1">
        <v>695216.71</v>
      </c>
      <c r="I1180" s="1">
        <v>494</v>
      </c>
      <c r="J1180" s="1">
        <v>423</v>
      </c>
      <c r="K1180" s="1">
        <v>235889</v>
      </c>
      <c r="L1180" s="1" t="s">
        <v>19</v>
      </c>
      <c r="M1180" s="1" t="s">
        <v>33</v>
      </c>
      <c r="N1180" s="1">
        <v>4.0999999999999996</v>
      </c>
    </row>
    <row r="1181" spans="1:14" x14ac:dyDescent="0.3">
      <c r="A1181" s="1" t="s">
        <v>2388</v>
      </c>
      <c r="B1181" s="1" t="s">
        <v>2389</v>
      </c>
      <c r="C1181" s="1">
        <v>26</v>
      </c>
      <c r="D1181" s="1" t="s">
        <v>23</v>
      </c>
      <c r="E1181" s="1" t="s">
        <v>29</v>
      </c>
      <c r="F1181" s="1" t="s">
        <v>39</v>
      </c>
      <c r="G1181" s="9">
        <v>1035801.56</v>
      </c>
      <c r="H1181" s="1">
        <v>176310.89</v>
      </c>
      <c r="I1181" s="1">
        <v>417</v>
      </c>
      <c r="J1181" s="1">
        <v>64</v>
      </c>
      <c r="K1181" s="1">
        <v>193791</v>
      </c>
      <c r="L1181" s="1" t="s">
        <v>26</v>
      </c>
      <c r="M1181" s="1" t="s">
        <v>20</v>
      </c>
      <c r="N1181" s="1">
        <v>1.6</v>
      </c>
    </row>
    <row r="1182" spans="1:14" x14ac:dyDescent="0.3">
      <c r="A1182" s="1" t="s">
        <v>2390</v>
      </c>
      <c r="B1182" s="1" t="s">
        <v>2391</v>
      </c>
      <c r="C1182" s="1">
        <v>65</v>
      </c>
      <c r="D1182" s="1" t="s">
        <v>23</v>
      </c>
      <c r="E1182" s="1" t="s">
        <v>55</v>
      </c>
      <c r="F1182" s="1" t="s">
        <v>18</v>
      </c>
      <c r="G1182" s="9">
        <v>1433199.22</v>
      </c>
      <c r="H1182" s="1">
        <v>1787558.44</v>
      </c>
      <c r="I1182" s="1">
        <v>707</v>
      </c>
      <c r="J1182" s="1">
        <v>150</v>
      </c>
      <c r="K1182" s="1">
        <v>87239</v>
      </c>
      <c r="L1182" s="1" t="s">
        <v>19</v>
      </c>
      <c r="M1182" s="1" t="s">
        <v>33</v>
      </c>
      <c r="N1182" s="1">
        <v>3.1</v>
      </c>
    </row>
    <row r="1183" spans="1:14" x14ac:dyDescent="0.3">
      <c r="A1183" s="1" t="s">
        <v>2392</v>
      </c>
      <c r="B1183" s="1" t="s">
        <v>2393</v>
      </c>
      <c r="C1183" s="1">
        <v>70</v>
      </c>
      <c r="D1183" s="1" t="s">
        <v>16</v>
      </c>
      <c r="E1183" s="1" t="s">
        <v>45</v>
      </c>
      <c r="F1183" s="1" t="s">
        <v>25</v>
      </c>
      <c r="G1183" s="9">
        <v>1425562.57</v>
      </c>
      <c r="H1183" s="1">
        <v>1386874.97</v>
      </c>
      <c r="I1183" s="1">
        <v>809</v>
      </c>
      <c r="J1183" s="1">
        <v>107</v>
      </c>
      <c r="K1183" s="1">
        <v>72986</v>
      </c>
      <c r="L1183" s="1" t="s">
        <v>19</v>
      </c>
      <c r="M1183" s="1" t="s">
        <v>20</v>
      </c>
      <c r="N1183" s="1">
        <v>1.5</v>
      </c>
    </row>
    <row r="1184" spans="1:14" x14ac:dyDescent="0.3">
      <c r="A1184" s="1" t="s">
        <v>2394</v>
      </c>
      <c r="B1184" s="1" t="s">
        <v>2395</v>
      </c>
      <c r="C1184" s="1">
        <v>32</v>
      </c>
      <c r="D1184" s="1" t="s">
        <v>23</v>
      </c>
      <c r="E1184" s="1" t="s">
        <v>45</v>
      </c>
      <c r="F1184" s="1" t="s">
        <v>39</v>
      </c>
      <c r="G1184" s="9">
        <v>1250476.6299999999</v>
      </c>
      <c r="H1184" s="1">
        <v>461195.82</v>
      </c>
      <c r="I1184" s="1">
        <v>369</v>
      </c>
      <c r="J1184" s="1">
        <v>128</v>
      </c>
      <c r="K1184" s="1">
        <v>29969</v>
      </c>
      <c r="L1184" s="1" t="s">
        <v>30</v>
      </c>
      <c r="M1184" s="1" t="s">
        <v>20</v>
      </c>
      <c r="N1184" s="1">
        <v>2.7</v>
      </c>
    </row>
    <row r="1185" spans="1:14" x14ac:dyDescent="0.3">
      <c r="A1185" s="1" t="s">
        <v>2396</v>
      </c>
      <c r="B1185" s="1" t="s">
        <v>2397</v>
      </c>
      <c r="C1185" s="1">
        <v>60</v>
      </c>
      <c r="D1185" s="1" t="s">
        <v>16</v>
      </c>
      <c r="E1185" s="1" t="s">
        <v>38</v>
      </c>
      <c r="F1185" s="1" t="s">
        <v>81</v>
      </c>
      <c r="G1185" s="9">
        <v>1151351.32</v>
      </c>
      <c r="H1185" s="1">
        <v>472423.56</v>
      </c>
      <c r="I1185" s="1">
        <v>515</v>
      </c>
      <c r="J1185" s="1">
        <v>376</v>
      </c>
      <c r="K1185" s="1">
        <v>152020</v>
      </c>
      <c r="L1185" s="1" t="s">
        <v>26</v>
      </c>
      <c r="M1185" s="1" t="s">
        <v>20</v>
      </c>
      <c r="N1185" s="1">
        <v>2.2999999999999998</v>
      </c>
    </row>
    <row r="1186" spans="1:14" x14ac:dyDescent="0.3">
      <c r="A1186" s="1" t="s">
        <v>2398</v>
      </c>
      <c r="B1186" s="1" t="s">
        <v>2399</v>
      </c>
      <c r="C1186" s="1">
        <v>40</v>
      </c>
      <c r="D1186" s="1" t="s">
        <v>23</v>
      </c>
      <c r="E1186" s="1" t="s">
        <v>29</v>
      </c>
      <c r="F1186" s="1" t="s">
        <v>39</v>
      </c>
      <c r="G1186" s="9">
        <v>304970.7</v>
      </c>
      <c r="H1186" s="1">
        <v>1610337.93</v>
      </c>
      <c r="I1186" s="1">
        <v>700</v>
      </c>
      <c r="J1186" s="1">
        <v>199</v>
      </c>
      <c r="K1186" s="1">
        <v>141119</v>
      </c>
      <c r="L1186" s="1" t="s">
        <v>40</v>
      </c>
      <c r="M1186" s="1" t="s">
        <v>20</v>
      </c>
      <c r="N1186" s="1">
        <v>1.6</v>
      </c>
    </row>
    <row r="1187" spans="1:14" x14ac:dyDescent="0.3">
      <c r="A1187" s="1" t="s">
        <v>2400</v>
      </c>
      <c r="B1187" s="1" t="s">
        <v>2401</v>
      </c>
      <c r="C1187" s="1">
        <v>39</v>
      </c>
      <c r="D1187" s="1" t="s">
        <v>23</v>
      </c>
      <c r="E1187" s="1" t="s">
        <v>38</v>
      </c>
      <c r="F1187" s="1" t="s">
        <v>39</v>
      </c>
      <c r="G1187" s="9">
        <v>1083165.72</v>
      </c>
      <c r="H1187" s="1">
        <v>63274.18</v>
      </c>
      <c r="I1187" s="1">
        <v>751</v>
      </c>
      <c r="J1187" s="1">
        <v>40</v>
      </c>
      <c r="K1187" s="1">
        <v>192493</v>
      </c>
      <c r="L1187" s="1" t="s">
        <v>26</v>
      </c>
      <c r="M1187" s="1" t="s">
        <v>20</v>
      </c>
      <c r="N1187" s="1">
        <v>4.4000000000000004</v>
      </c>
    </row>
    <row r="1188" spans="1:14" x14ac:dyDescent="0.3">
      <c r="A1188" s="1" t="s">
        <v>2402</v>
      </c>
      <c r="B1188" s="1" t="s">
        <v>2403</v>
      </c>
      <c r="C1188" s="1">
        <v>25</v>
      </c>
      <c r="D1188" s="1" t="s">
        <v>23</v>
      </c>
      <c r="E1188" s="1" t="s">
        <v>48</v>
      </c>
      <c r="F1188" s="1" t="s">
        <v>18</v>
      </c>
      <c r="G1188" s="9">
        <v>102371.36</v>
      </c>
      <c r="H1188" s="1">
        <v>1295118.29</v>
      </c>
      <c r="I1188" s="1">
        <v>317</v>
      </c>
      <c r="J1188" s="1">
        <v>321</v>
      </c>
      <c r="K1188" s="1">
        <v>199506</v>
      </c>
      <c r="L1188" s="1" t="s">
        <v>40</v>
      </c>
      <c r="M1188" s="1" t="s">
        <v>20</v>
      </c>
      <c r="N1188" s="1">
        <v>3.9</v>
      </c>
    </row>
    <row r="1189" spans="1:14" x14ac:dyDescent="0.3">
      <c r="A1189" s="1" t="s">
        <v>2404</v>
      </c>
      <c r="B1189" s="1" t="s">
        <v>2405</v>
      </c>
      <c r="C1189" s="1">
        <v>61</v>
      </c>
      <c r="D1189" s="1" t="s">
        <v>16</v>
      </c>
      <c r="E1189" s="1" t="s">
        <v>24</v>
      </c>
      <c r="F1189" s="1" t="s">
        <v>18</v>
      </c>
      <c r="G1189" s="9">
        <v>13822.9</v>
      </c>
      <c r="H1189" s="1">
        <v>8552.3799999999992</v>
      </c>
      <c r="I1189" s="1">
        <v>359</v>
      </c>
      <c r="J1189" s="1">
        <v>421</v>
      </c>
      <c r="K1189" s="1">
        <v>81253</v>
      </c>
      <c r="L1189" s="1" t="s">
        <v>19</v>
      </c>
      <c r="M1189" s="1" t="s">
        <v>20</v>
      </c>
      <c r="N1189" s="1">
        <v>2.6</v>
      </c>
    </row>
    <row r="1190" spans="1:14" x14ac:dyDescent="0.3">
      <c r="A1190" s="1" t="s">
        <v>2406</v>
      </c>
      <c r="B1190" s="1" t="s">
        <v>2407</v>
      </c>
      <c r="C1190" s="1">
        <v>59</v>
      </c>
      <c r="D1190" s="1" t="s">
        <v>23</v>
      </c>
      <c r="E1190" s="1" t="s">
        <v>45</v>
      </c>
      <c r="F1190" s="1" t="s">
        <v>39</v>
      </c>
      <c r="G1190" s="9">
        <v>1366663.13</v>
      </c>
      <c r="H1190" s="1">
        <v>2343027.34</v>
      </c>
      <c r="I1190" s="1">
        <v>695</v>
      </c>
      <c r="J1190" s="1">
        <v>149</v>
      </c>
      <c r="K1190" s="1">
        <v>236006</v>
      </c>
      <c r="L1190" s="1" t="s">
        <v>30</v>
      </c>
      <c r="M1190" s="1" t="s">
        <v>33</v>
      </c>
      <c r="N1190" s="1">
        <v>3.7</v>
      </c>
    </row>
    <row r="1191" spans="1:14" x14ac:dyDescent="0.3">
      <c r="A1191" s="1" t="s">
        <v>2408</v>
      </c>
      <c r="B1191" s="1" t="s">
        <v>2409</v>
      </c>
      <c r="C1191" s="1">
        <v>40</v>
      </c>
      <c r="D1191" s="1" t="s">
        <v>23</v>
      </c>
      <c r="E1191" s="1" t="s">
        <v>24</v>
      </c>
      <c r="F1191" s="1" t="s">
        <v>39</v>
      </c>
      <c r="G1191" s="9">
        <v>685201.5</v>
      </c>
      <c r="H1191" s="1">
        <v>2298566.31</v>
      </c>
      <c r="I1191" s="1">
        <v>456</v>
      </c>
      <c r="J1191" s="1">
        <v>237</v>
      </c>
      <c r="K1191" s="1">
        <v>186906</v>
      </c>
      <c r="L1191" s="1" t="s">
        <v>26</v>
      </c>
      <c r="M1191" s="1" t="s">
        <v>20</v>
      </c>
      <c r="N1191" s="1">
        <v>3.1</v>
      </c>
    </row>
    <row r="1192" spans="1:14" x14ac:dyDescent="0.3">
      <c r="A1192" s="1" t="s">
        <v>2410</v>
      </c>
      <c r="B1192" s="1" t="s">
        <v>2411</v>
      </c>
      <c r="C1192" s="1">
        <v>42</v>
      </c>
      <c r="D1192" s="1" t="s">
        <v>16</v>
      </c>
      <c r="E1192" s="1" t="s">
        <v>76</v>
      </c>
      <c r="F1192" s="1" t="s">
        <v>25</v>
      </c>
      <c r="G1192" s="9">
        <v>1323496.55</v>
      </c>
      <c r="H1192" s="1">
        <v>920195.24</v>
      </c>
      <c r="I1192" s="1">
        <v>321</v>
      </c>
      <c r="J1192" s="1">
        <v>226</v>
      </c>
      <c r="K1192" s="1">
        <v>87426</v>
      </c>
      <c r="L1192" s="1" t="s">
        <v>30</v>
      </c>
      <c r="M1192" s="1" t="s">
        <v>20</v>
      </c>
      <c r="N1192" s="1">
        <v>4.2</v>
      </c>
    </row>
    <row r="1193" spans="1:14" x14ac:dyDescent="0.3">
      <c r="A1193" s="1" t="s">
        <v>2412</v>
      </c>
      <c r="B1193" s="1" t="s">
        <v>2413</v>
      </c>
      <c r="C1193" s="1">
        <v>43</v>
      </c>
      <c r="D1193" s="1" t="s">
        <v>23</v>
      </c>
      <c r="E1193" s="1" t="s">
        <v>45</v>
      </c>
      <c r="F1193" s="1" t="s">
        <v>25</v>
      </c>
      <c r="G1193" s="9">
        <v>1261002.3500000001</v>
      </c>
      <c r="H1193" s="1">
        <v>882353.43</v>
      </c>
      <c r="I1193" s="1">
        <v>715</v>
      </c>
      <c r="J1193" s="1">
        <v>220</v>
      </c>
      <c r="K1193" s="1">
        <v>52774</v>
      </c>
      <c r="L1193" s="1" t="s">
        <v>30</v>
      </c>
      <c r="M1193" s="1" t="s">
        <v>33</v>
      </c>
      <c r="N1193" s="1">
        <v>4.5</v>
      </c>
    </row>
    <row r="1194" spans="1:14" x14ac:dyDescent="0.3">
      <c r="A1194" s="1" t="s">
        <v>2414</v>
      </c>
      <c r="B1194" s="1" t="s">
        <v>2415</v>
      </c>
      <c r="C1194" s="1">
        <v>41</v>
      </c>
      <c r="D1194" s="1" t="s">
        <v>16</v>
      </c>
      <c r="E1194" s="1" t="s">
        <v>24</v>
      </c>
      <c r="F1194" s="1" t="s">
        <v>81</v>
      </c>
      <c r="G1194" s="9">
        <v>492386.42</v>
      </c>
      <c r="H1194" s="1">
        <v>997207.65</v>
      </c>
      <c r="I1194" s="1">
        <v>842</v>
      </c>
      <c r="J1194" s="1">
        <v>110</v>
      </c>
      <c r="K1194" s="1">
        <v>108552</v>
      </c>
      <c r="L1194" s="1" t="s">
        <v>30</v>
      </c>
      <c r="M1194" s="1" t="s">
        <v>33</v>
      </c>
      <c r="N1194" s="1">
        <v>2</v>
      </c>
    </row>
    <row r="1195" spans="1:14" x14ac:dyDescent="0.3">
      <c r="A1195" s="1" t="s">
        <v>2416</v>
      </c>
      <c r="B1195" s="1" t="s">
        <v>2417</v>
      </c>
      <c r="C1195" s="1">
        <v>41</v>
      </c>
      <c r="D1195" s="1" t="s">
        <v>23</v>
      </c>
      <c r="E1195" s="1" t="s">
        <v>55</v>
      </c>
      <c r="F1195" s="1" t="s">
        <v>25</v>
      </c>
      <c r="G1195" s="9">
        <v>463813.98</v>
      </c>
      <c r="H1195" s="1">
        <v>982073.9</v>
      </c>
      <c r="I1195" s="1">
        <v>781</v>
      </c>
      <c r="J1195" s="1">
        <v>60</v>
      </c>
      <c r="K1195" s="1">
        <v>188820</v>
      </c>
      <c r="L1195" s="1" t="s">
        <v>19</v>
      </c>
      <c r="M1195" s="1" t="s">
        <v>20</v>
      </c>
      <c r="N1195" s="1">
        <v>3.2</v>
      </c>
    </row>
    <row r="1196" spans="1:14" x14ac:dyDescent="0.3">
      <c r="A1196" s="1" t="s">
        <v>2418</v>
      </c>
      <c r="B1196" s="1" t="s">
        <v>2419</v>
      </c>
      <c r="C1196" s="1">
        <v>31</v>
      </c>
      <c r="D1196" s="1" t="s">
        <v>16</v>
      </c>
      <c r="E1196" s="1" t="s">
        <v>45</v>
      </c>
      <c r="F1196" s="1" t="s">
        <v>18</v>
      </c>
      <c r="G1196" s="9">
        <v>829781.15</v>
      </c>
      <c r="H1196" s="1">
        <v>391798.37</v>
      </c>
      <c r="I1196" s="1">
        <v>693</v>
      </c>
      <c r="J1196" s="1">
        <v>484</v>
      </c>
      <c r="K1196" s="1">
        <v>108521</v>
      </c>
      <c r="L1196" s="1" t="s">
        <v>40</v>
      </c>
      <c r="M1196" s="1" t="s">
        <v>33</v>
      </c>
      <c r="N1196" s="1">
        <v>3.1</v>
      </c>
    </row>
    <row r="1197" spans="1:14" x14ac:dyDescent="0.3">
      <c r="A1197" s="1" t="s">
        <v>2420</v>
      </c>
      <c r="B1197" s="1" t="s">
        <v>2421</v>
      </c>
      <c r="C1197" s="1">
        <v>54</v>
      </c>
      <c r="D1197" s="1" t="s">
        <v>23</v>
      </c>
      <c r="E1197" s="1" t="s">
        <v>24</v>
      </c>
      <c r="F1197" s="1" t="s">
        <v>39</v>
      </c>
      <c r="G1197" s="9">
        <v>262649.48</v>
      </c>
      <c r="H1197" s="1">
        <v>2459081.39</v>
      </c>
      <c r="I1197" s="1">
        <v>876</v>
      </c>
      <c r="J1197" s="1">
        <v>398</v>
      </c>
      <c r="K1197" s="1">
        <v>194848</v>
      </c>
      <c r="L1197" s="1" t="s">
        <v>30</v>
      </c>
      <c r="M1197" s="1" t="s">
        <v>33</v>
      </c>
      <c r="N1197" s="1">
        <v>1.6</v>
      </c>
    </row>
    <row r="1198" spans="1:14" x14ac:dyDescent="0.3">
      <c r="A1198" s="1" t="s">
        <v>2422</v>
      </c>
      <c r="B1198" s="1" t="s">
        <v>2423</v>
      </c>
      <c r="C1198" s="1">
        <v>47</v>
      </c>
      <c r="D1198" s="1" t="s">
        <v>16</v>
      </c>
      <c r="E1198" s="1" t="s">
        <v>29</v>
      </c>
      <c r="F1198" s="1" t="s">
        <v>18</v>
      </c>
      <c r="G1198" s="9">
        <v>1302705</v>
      </c>
      <c r="H1198" s="1">
        <v>326387.71000000002</v>
      </c>
      <c r="I1198" s="1">
        <v>798</v>
      </c>
      <c r="J1198" s="1">
        <v>166</v>
      </c>
      <c r="K1198" s="1">
        <v>84408</v>
      </c>
      <c r="L1198" s="1" t="s">
        <v>19</v>
      </c>
      <c r="M1198" s="1" t="s">
        <v>20</v>
      </c>
      <c r="N1198" s="1">
        <v>3.4</v>
      </c>
    </row>
    <row r="1199" spans="1:14" x14ac:dyDescent="0.3">
      <c r="A1199" s="1" t="s">
        <v>2424</v>
      </c>
      <c r="B1199" s="1" t="s">
        <v>2425</v>
      </c>
      <c r="C1199" s="1">
        <v>18</v>
      </c>
      <c r="D1199" s="1" t="s">
        <v>23</v>
      </c>
      <c r="E1199" s="1" t="s">
        <v>24</v>
      </c>
      <c r="F1199" s="1" t="s">
        <v>39</v>
      </c>
      <c r="G1199" s="9">
        <v>1304848.29</v>
      </c>
      <c r="H1199" s="1">
        <v>828771.59</v>
      </c>
      <c r="I1199" s="1">
        <v>392</v>
      </c>
      <c r="J1199" s="1">
        <v>165</v>
      </c>
      <c r="K1199" s="1">
        <v>246033</v>
      </c>
      <c r="L1199" s="1" t="s">
        <v>40</v>
      </c>
      <c r="M1199" s="1" t="s">
        <v>33</v>
      </c>
      <c r="N1199" s="1">
        <v>4.7</v>
      </c>
    </row>
    <row r="1200" spans="1:14" x14ac:dyDescent="0.3">
      <c r="A1200" s="1" t="s">
        <v>2426</v>
      </c>
      <c r="B1200" s="1" t="s">
        <v>2427</v>
      </c>
      <c r="C1200" s="1">
        <v>22</v>
      </c>
      <c r="D1200" s="1" t="s">
        <v>16</v>
      </c>
      <c r="E1200" s="1" t="s">
        <v>55</v>
      </c>
      <c r="F1200" s="1" t="s">
        <v>81</v>
      </c>
      <c r="G1200" s="9">
        <v>936731.37</v>
      </c>
      <c r="H1200" s="1">
        <v>788750.08</v>
      </c>
      <c r="I1200" s="1">
        <v>757</v>
      </c>
      <c r="J1200" s="1">
        <v>248</v>
      </c>
      <c r="K1200" s="1">
        <v>115142</v>
      </c>
      <c r="L1200" s="1" t="s">
        <v>19</v>
      </c>
      <c r="M1200" s="1" t="s">
        <v>20</v>
      </c>
      <c r="N1200" s="1">
        <v>2.4</v>
      </c>
    </row>
    <row r="1201" spans="1:14" x14ac:dyDescent="0.3">
      <c r="A1201" s="1" t="s">
        <v>2428</v>
      </c>
      <c r="B1201" s="1" t="s">
        <v>2429</v>
      </c>
      <c r="C1201" s="1">
        <v>27</v>
      </c>
      <c r="D1201" s="1" t="s">
        <v>23</v>
      </c>
      <c r="E1201" s="1" t="s">
        <v>55</v>
      </c>
      <c r="F1201" s="1" t="s">
        <v>39</v>
      </c>
      <c r="G1201" s="9">
        <v>625702.88</v>
      </c>
      <c r="H1201" s="1">
        <v>1330762.95</v>
      </c>
      <c r="I1201" s="1">
        <v>719</v>
      </c>
      <c r="J1201" s="1">
        <v>86</v>
      </c>
      <c r="K1201" s="1">
        <v>62796</v>
      </c>
      <c r="L1201" s="1" t="s">
        <v>19</v>
      </c>
      <c r="M1201" s="1" t="s">
        <v>20</v>
      </c>
      <c r="N1201" s="1">
        <v>3.2</v>
      </c>
    </row>
    <row r="1202" spans="1:14" x14ac:dyDescent="0.3">
      <c r="A1202" s="1" t="s">
        <v>2430</v>
      </c>
      <c r="B1202" s="1" t="s">
        <v>2431</v>
      </c>
      <c r="C1202" s="1">
        <v>46</v>
      </c>
      <c r="D1202" s="1" t="s">
        <v>16</v>
      </c>
      <c r="E1202" s="1" t="s">
        <v>76</v>
      </c>
      <c r="F1202" s="1" t="s">
        <v>81</v>
      </c>
      <c r="G1202" s="9">
        <v>1134731.8999999999</v>
      </c>
      <c r="H1202" s="1">
        <v>338996.85</v>
      </c>
      <c r="I1202" s="1">
        <v>690</v>
      </c>
      <c r="J1202" s="1">
        <v>247</v>
      </c>
      <c r="K1202" s="1">
        <v>45446</v>
      </c>
      <c r="L1202" s="1" t="s">
        <v>30</v>
      </c>
      <c r="M1202" s="1" t="s">
        <v>20</v>
      </c>
      <c r="N1202" s="1">
        <v>2.5</v>
      </c>
    </row>
    <row r="1203" spans="1:14" x14ac:dyDescent="0.3">
      <c r="A1203" s="1" t="s">
        <v>2432</v>
      </c>
      <c r="B1203" s="1" t="s">
        <v>2433</v>
      </c>
      <c r="C1203" s="1">
        <v>46</v>
      </c>
      <c r="D1203" s="1" t="s">
        <v>16</v>
      </c>
      <c r="E1203" s="1" t="s">
        <v>48</v>
      </c>
      <c r="F1203" s="1" t="s">
        <v>18</v>
      </c>
      <c r="G1203" s="9">
        <v>1455593.58</v>
      </c>
      <c r="H1203" s="1">
        <v>2366510.2000000002</v>
      </c>
      <c r="I1203" s="1">
        <v>880</v>
      </c>
      <c r="J1203" s="1">
        <v>181</v>
      </c>
      <c r="K1203" s="1">
        <v>25205</v>
      </c>
      <c r="L1203" s="1" t="s">
        <v>40</v>
      </c>
      <c r="M1203" s="1" t="s">
        <v>20</v>
      </c>
      <c r="N1203" s="1">
        <v>4.5</v>
      </c>
    </row>
    <row r="1204" spans="1:14" x14ac:dyDescent="0.3">
      <c r="A1204" s="1" t="s">
        <v>2434</v>
      </c>
      <c r="B1204" s="1" t="s">
        <v>2435</v>
      </c>
      <c r="C1204" s="1">
        <v>57</v>
      </c>
      <c r="D1204" s="1" t="s">
        <v>16</v>
      </c>
      <c r="E1204" s="1" t="s">
        <v>48</v>
      </c>
      <c r="F1204" s="1" t="s">
        <v>81</v>
      </c>
      <c r="G1204" s="9">
        <v>1017672.87</v>
      </c>
      <c r="H1204" s="1">
        <v>2291910.02</v>
      </c>
      <c r="I1204" s="1">
        <v>413</v>
      </c>
      <c r="J1204" s="1">
        <v>483</v>
      </c>
      <c r="K1204" s="1">
        <v>98670</v>
      </c>
      <c r="L1204" s="1" t="s">
        <v>19</v>
      </c>
      <c r="M1204" s="1" t="s">
        <v>33</v>
      </c>
      <c r="N1204" s="1">
        <v>4.2</v>
      </c>
    </row>
    <row r="1205" spans="1:14" x14ac:dyDescent="0.3">
      <c r="A1205" s="1" t="s">
        <v>2436</v>
      </c>
      <c r="B1205" s="1" t="s">
        <v>2437</v>
      </c>
      <c r="C1205" s="1">
        <v>56</v>
      </c>
      <c r="D1205" s="1" t="s">
        <v>23</v>
      </c>
      <c r="E1205" s="1" t="s">
        <v>24</v>
      </c>
      <c r="F1205" s="1" t="s">
        <v>81</v>
      </c>
      <c r="G1205" s="9">
        <v>744651.1</v>
      </c>
      <c r="H1205" s="1">
        <v>1554655.49</v>
      </c>
      <c r="I1205" s="1">
        <v>727</v>
      </c>
      <c r="J1205" s="1">
        <v>91</v>
      </c>
      <c r="K1205" s="1">
        <v>229536</v>
      </c>
      <c r="L1205" s="1" t="s">
        <v>19</v>
      </c>
      <c r="M1205" s="1" t="s">
        <v>33</v>
      </c>
      <c r="N1205" s="1">
        <v>2.5</v>
      </c>
    </row>
    <row r="1206" spans="1:14" x14ac:dyDescent="0.3">
      <c r="A1206" s="1" t="s">
        <v>2438</v>
      </c>
      <c r="B1206" s="1" t="s">
        <v>2439</v>
      </c>
      <c r="C1206" s="1">
        <v>38</v>
      </c>
      <c r="D1206" s="1" t="s">
        <v>23</v>
      </c>
      <c r="E1206" s="1" t="s">
        <v>48</v>
      </c>
      <c r="F1206" s="1" t="s">
        <v>18</v>
      </c>
      <c r="G1206" s="9">
        <v>82756.55</v>
      </c>
      <c r="H1206" s="1">
        <v>597009.81999999995</v>
      </c>
      <c r="I1206" s="1">
        <v>613</v>
      </c>
      <c r="J1206" s="1">
        <v>139</v>
      </c>
      <c r="K1206" s="1">
        <v>63747</v>
      </c>
      <c r="L1206" s="1" t="s">
        <v>26</v>
      </c>
      <c r="M1206" s="1" t="s">
        <v>33</v>
      </c>
      <c r="N1206" s="1">
        <v>2.8</v>
      </c>
    </row>
    <row r="1207" spans="1:14" x14ac:dyDescent="0.3">
      <c r="A1207" s="1" t="s">
        <v>2440</v>
      </c>
      <c r="B1207" s="1" t="s">
        <v>2441</v>
      </c>
      <c r="C1207" s="1">
        <v>60</v>
      </c>
      <c r="D1207" s="1" t="s">
        <v>23</v>
      </c>
      <c r="E1207" s="1" t="s">
        <v>17</v>
      </c>
      <c r="F1207" s="1" t="s">
        <v>39</v>
      </c>
      <c r="G1207" s="9">
        <v>502713.7</v>
      </c>
      <c r="H1207" s="1">
        <v>78434.52</v>
      </c>
      <c r="I1207" s="1">
        <v>310</v>
      </c>
      <c r="J1207" s="1">
        <v>381</v>
      </c>
      <c r="K1207" s="1">
        <v>41035</v>
      </c>
      <c r="L1207" s="1" t="s">
        <v>30</v>
      </c>
      <c r="M1207" s="1" t="s">
        <v>33</v>
      </c>
      <c r="N1207" s="1">
        <v>3.3</v>
      </c>
    </row>
    <row r="1208" spans="1:14" x14ac:dyDescent="0.3">
      <c r="A1208" s="1" t="s">
        <v>2442</v>
      </c>
      <c r="B1208" s="1" t="s">
        <v>2443</v>
      </c>
      <c r="C1208" s="1">
        <v>42</v>
      </c>
      <c r="D1208" s="1" t="s">
        <v>23</v>
      </c>
      <c r="E1208" s="1" t="s">
        <v>17</v>
      </c>
      <c r="F1208" s="1" t="s">
        <v>81</v>
      </c>
      <c r="G1208" s="9">
        <v>1044455.98</v>
      </c>
      <c r="H1208" s="1">
        <v>675709.22</v>
      </c>
      <c r="I1208" s="1">
        <v>684</v>
      </c>
      <c r="J1208" s="1">
        <v>176</v>
      </c>
      <c r="K1208" s="1">
        <v>29432</v>
      </c>
      <c r="L1208" s="1" t="s">
        <v>40</v>
      </c>
      <c r="M1208" s="1" t="s">
        <v>33</v>
      </c>
      <c r="N1208" s="1">
        <v>2.5</v>
      </c>
    </row>
    <row r="1209" spans="1:14" x14ac:dyDescent="0.3">
      <c r="A1209" s="1" t="s">
        <v>2444</v>
      </c>
      <c r="B1209" s="1" t="s">
        <v>2445</v>
      </c>
      <c r="C1209" s="1">
        <v>64</v>
      </c>
      <c r="D1209" s="1" t="s">
        <v>16</v>
      </c>
      <c r="E1209" s="1" t="s">
        <v>48</v>
      </c>
      <c r="F1209" s="1" t="s">
        <v>18</v>
      </c>
      <c r="G1209" s="9">
        <v>830812.06</v>
      </c>
      <c r="H1209" s="1">
        <v>1222076.05</v>
      </c>
      <c r="I1209" s="1">
        <v>573</v>
      </c>
      <c r="J1209" s="1">
        <v>47</v>
      </c>
      <c r="K1209" s="1">
        <v>88573</v>
      </c>
      <c r="L1209" s="1" t="s">
        <v>19</v>
      </c>
      <c r="M1209" s="1" t="s">
        <v>20</v>
      </c>
      <c r="N1209" s="1">
        <v>4.7</v>
      </c>
    </row>
    <row r="1210" spans="1:14" x14ac:dyDescent="0.3">
      <c r="A1210" s="1" t="s">
        <v>2446</v>
      </c>
      <c r="B1210" s="1" t="s">
        <v>2447</v>
      </c>
      <c r="C1210" s="1">
        <v>69</v>
      </c>
      <c r="D1210" s="1" t="s">
        <v>16</v>
      </c>
      <c r="E1210" s="1" t="s">
        <v>29</v>
      </c>
      <c r="F1210" s="1" t="s">
        <v>18</v>
      </c>
      <c r="G1210" s="9">
        <v>165039.16</v>
      </c>
      <c r="H1210" s="1">
        <v>186036.57</v>
      </c>
      <c r="I1210" s="1">
        <v>682</v>
      </c>
      <c r="J1210" s="1">
        <v>38</v>
      </c>
      <c r="K1210" s="1">
        <v>219770</v>
      </c>
      <c r="L1210" s="1" t="s">
        <v>19</v>
      </c>
      <c r="M1210" s="1" t="s">
        <v>20</v>
      </c>
      <c r="N1210" s="1">
        <v>1.6</v>
      </c>
    </row>
    <row r="1211" spans="1:14" x14ac:dyDescent="0.3">
      <c r="A1211" s="1" t="s">
        <v>2448</v>
      </c>
      <c r="B1211" s="1" t="s">
        <v>2449</v>
      </c>
      <c r="C1211" s="1">
        <v>65</v>
      </c>
      <c r="D1211" s="1" t="s">
        <v>23</v>
      </c>
      <c r="E1211" s="1" t="s">
        <v>48</v>
      </c>
      <c r="F1211" s="1" t="s">
        <v>18</v>
      </c>
      <c r="G1211" s="9">
        <v>514996.54</v>
      </c>
      <c r="H1211" s="1">
        <v>2272278.5699999998</v>
      </c>
      <c r="I1211" s="1">
        <v>372</v>
      </c>
      <c r="J1211" s="1">
        <v>84</v>
      </c>
      <c r="K1211" s="1">
        <v>231546</v>
      </c>
      <c r="L1211" s="1" t="s">
        <v>19</v>
      </c>
      <c r="M1211" s="1" t="s">
        <v>20</v>
      </c>
      <c r="N1211" s="1">
        <v>3.3</v>
      </c>
    </row>
    <row r="1212" spans="1:14" x14ac:dyDescent="0.3">
      <c r="A1212" s="1" t="s">
        <v>2450</v>
      </c>
      <c r="B1212" s="1" t="s">
        <v>2451</v>
      </c>
      <c r="C1212" s="1">
        <v>63</v>
      </c>
      <c r="D1212" s="1" t="s">
        <v>16</v>
      </c>
      <c r="E1212" s="1" t="s">
        <v>76</v>
      </c>
      <c r="F1212" s="1" t="s">
        <v>25</v>
      </c>
      <c r="G1212" s="9">
        <v>303284.36</v>
      </c>
      <c r="H1212" s="1">
        <v>1865160.2</v>
      </c>
      <c r="I1212" s="1">
        <v>383</v>
      </c>
      <c r="J1212" s="1">
        <v>100</v>
      </c>
      <c r="K1212" s="1">
        <v>56363</v>
      </c>
      <c r="L1212" s="1" t="s">
        <v>40</v>
      </c>
      <c r="M1212" s="1" t="s">
        <v>20</v>
      </c>
      <c r="N1212" s="1">
        <v>1.4</v>
      </c>
    </row>
    <row r="1213" spans="1:14" x14ac:dyDescent="0.3">
      <c r="A1213" s="1" t="s">
        <v>2452</v>
      </c>
      <c r="B1213" s="1" t="s">
        <v>2453</v>
      </c>
      <c r="C1213" s="1">
        <v>21</v>
      </c>
      <c r="D1213" s="1" t="s">
        <v>16</v>
      </c>
      <c r="E1213" s="1" t="s">
        <v>45</v>
      </c>
      <c r="F1213" s="1" t="s">
        <v>39</v>
      </c>
      <c r="G1213" s="9">
        <v>123720.88</v>
      </c>
      <c r="H1213" s="1">
        <v>801012.38</v>
      </c>
      <c r="I1213" s="1">
        <v>842</v>
      </c>
      <c r="J1213" s="1">
        <v>103</v>
      </c>
      <c r="K1213" s="1">
        <v>207951</v>
      </c>
      <c r="L1213" s="1" t="s">
        <v>30</v>
      </c>
      <c r="M1213" s="1" t="s">
        <v>33</v>
      </c>
      <c r="N1213" s="1">
        <v>2.9</v>
      </c>
    </row>
    <row r="1214" spans="1:14" x14ac:dyDescent="0.3">
      <c r="A1214" s="1" t="s">
        <v>2454</v>
      </c>
      <c r="B1214" s="1" t="s">
        <v>2455</v>
      </c>
      <c r="C1214" s="1">
        <v>64</v>
      </c>
      <c r="D1214" s="1" t="s">
        <v>16</v>
      </c>
      <c r="E1214" s="1" t="s">
        <v>38</v>
      </c>
      <c r="F1214" s="1" t="s">
        <v>39</v>
      </c>
      <c r="G1214" s="9">
        <v>889759.02</v>
      </c>
      <c r="H1214" s="1">
        <v>2152247.3199999998</v>
      </c>
      <c r="I1214" s="1">
        <v>753</v>
      </c>
      <c r="J1214" s="1">
        <v>99</v>
      </c>
      <c r="K1214" s="1">
        <v>197251</v>
      </c>
      <c r="L1214" s="1" t="s">
        <v>26</v>
      </c>
      <c r="M1214" s="1" t="s">
        <v>20</v>
      </c>
      <c r="N1214" s="1">
        <v>3</v>
      </c>
    </row>
    <row r="1215" spans="1:14" x14ac:dyDescent="0.3">
      <c r="A1215" s="1" t="s">
        <v>2456</v>
      </c>
      <c r="B1215" s="1" t="s">
        <v>2457</v>
      </c>
      <c r="C1215" s="1">
        <v>52</v>
      </c>
      <c r="D1215" s="1" t="s">
        <v>23</v>
      </c>
      <c r="E1215" s="1" t="s">
        <v>24</v>
      </c>
      <c r="F1215" s="1" t="s">
        <v>39</v>
      </c>
      <c r="G1215" s="9">
        <v>1459221.96</v>
      </c>
      <c r="H1215" s="1">
        <v>1749917.55</v>
      </c>
      <c r="I1215" s="1">
        <v>377</v>
      </c>
      <c r="J1215" s="1">
        <v>101</v>
      </c>
      <c r="K1215" s="1">
        <v>170846</v>
      </c>
      <c r="L1215" s="1" t="s">
        <v>30</v>
      </c>
      <c r="M1215" s="1" t="s">
        <v>33</v>
      </c>
      <c r="N1215" s="1">
        <v>1.7</v>
      </c>
    </row>
    <row r="1216" spans="1:14" x14ac:dyDescent="0.3">
      <c r="A1216" s="1" t="s">
        <v>2458</v>
      </c>
      <c r="B1216" s="1" t="s">
        <v>2459</v>
      </c>
      <c r="C1216" s="1">
        <v>56</v>
      </c>
      <c r="D1216" s="1" t="s">
        <v>16</v>
      </c>
      <c r="E1216" s="1" t="s">
        <v>76</v>
      </c>
      <c r="F1216" s="1" t="s">
        <v>81</v>
      </c>
      <c r="G1216" s="9">
        <v>762448.41</v>
      </c>
      <c r="H1216" s="1">
        <v>713507.54</v>
      </c>
      <c r="I1216" s="1">
        <v>736</v>
      </c>
      <c r="J1216" s="1">
        <v>133</v>
      </c>
      <c r="K1216" s="1">
        <v>128077</v>
      </c>
      <c r="L1216" s="1" t="s">
        <v>26</v>
      </c>
      <c r="M1216" s="1" t="s">
        <v>20</v>
      </c>
      <c r="N1216" s="1">
        <v>4.3</v>
      </c>
    </row>
    <row r="1217" spans="1:14" x14ac:dyDescent="0.3">
      <c r="A1217" s="1" t="s">
        <v>2460</v>
      </c>
      <c r="B1217" s="1" t="s">
        <v>2461</v>
      </c>
      <c r="C1217" s="1">
        <v>22</v>
      </c>
      <c r="D1217" s="1" t="s">
        <v>23</v>
      </c>
      <c r="E1217" s="1" t="s">
        <v>29</v>
      </c>
      <c r="F1217" s="1" t="s">
        <v>25</v>
      </c>
      <c r="G1217" s="9">
        <v>98860.55</v>
      </c>
      <c r="H1217" s="1">
        <v>860558.13</v>
      </c>
      <c r="I1217" s="1">
        <v>361</v>
      </c>
      <c r="J1217" s="1">
        <v>322</v>
      </c>
      <c r="K1217" s="1">
        <v>36153</v>
      </c>
      <c r="L1217" s="1" t="s">
        <v>19</v>
      </c>
      <c r="M1217" s="1" t="s">
        <v>20</v>
      </c>
      <c r="N1217" s="1">
        <v>4</v>
      </c>
    </row>
    <row r="1218" spans="1:14" x14ac:dyDescent="0.3">
      <c r="A1218" s="1" t="s">
        <v>2462</v>
      </c>
      <c r="B1218" s="1" t="s">
        <v>2463</v>
      </c>
      <c r="C1218" s="1">
        <v>38</v>
      </c>
      <c r="D1218" s="1" t="s">
        <v>23</v>
      </c>
      <c r="E1218" s="1" t="s">
        <v>45</v>
      </c>
      <c r="F1218" s="1" t="s">
        <v>81</v>
      </c>
      <c r="G1218" s="9">
        <v>1158222.23</v>
      </c>
      <c r="H1218" s="1">
        <v>2286191.66</v>
      </c>
      <c r="I1218" s="1">
        <v>367</v>
      </c>
      <c r="J1218" s="1">
        <v>296</v>
      </c>
      <c r="K1218" s="1">
        <v>174177</v>
      </c>
      <c r="L1218" s="1" t="s">
        <v>30</v>
      </c>
      <c r="M1218" s="1" t="s">
        <v>33</v>
      </c>
      <c r="N1218" s="1">
        <v>2</v>
      </c>
    </row>
    <row r="1219" spans="1:14" x14ac:dyDescent="0.3">
      <c r="A1219" s="1" t="s">
        <v>2464</v>
      </c>
      <c r="B1219" s="1" t="s">
        <v>2465</v>
      </c>
      <c r="C1219" s="1">
        <v>49</v>
      </c>
      <c r="D1219" s="1" t="s">
        <v>16</v>
      </c>
      <c r="E1219" s="1" t="s">
        <v>48</v>
      </c>
      <c r="F1219" s="1" t="s">
        <v>25</v>
      </c>
      <c r="G1219" s="9">
        <v>1146301.6599999999</v>
      </c>
      <c r="H1219" s="1">
        <v>783686.69</v>
      </c>
      <c r="I1219" s="1">
        <v>494</v>
      </c>
      <c r="J1219" s="1">
        <v>121</v>
      </c>
      <c r="K1219" s="1">
        <v>98707</v>
      </c>
      <c r="L1219" s="1" t="s">
        <v>30</v>
      </c>
      <c r="M1219" s="1" t="s">
        <v>33</v>
      </c>
      <c r="N1219" s="1">
        <v>3.3</v>
      </c>
    </row>
    <row r="1220" spans="1:14" x14ac:dyDescent="0.3">
      <c r="A1220" s="1" t="s">
        <v>2466</v>
      </c>
      <c r="B1220" s="1" t="s">
        <v>2467</v>
      </c>
      <c r="C1220" s="1">
        <v>38</v>
      </c>
      <c r="D1220" s="1" t="s">
        <v>23</v>
      </c>
      <c r="E1220" s="1" t="s">
        <v>38</v>
      </c>
      <c r="F1220" s="1" t="s">
        <v>39</v>
      </c>
      <c r="G1220" s="9">
        <v>1270490</v>
      </c>
      <c r="H1220" s="1">
        <v>2430690.16</v>
      </c>
      <c r="I1220" s="1">
        <v>774</v>
      </c>
      <c r="J1220" s="1">
        <v>449</v>
      </c>
      <c r="K1220" s="1">
        <v>228732</v>
      </c>
      <c r="L1220" s="1" t="s">
        <v>30</v>
      </c>
      <c r="M1220" s="1" t="s">
        <v>33</v>
      </c>
      <c r="N1220" s="1">
        <v>4.5999999999999996</v>
      </c>
    </row>
    <row r="1221" spans="1:14" x14ac:dyDescent="0.3">
      <c r="A1221" s="1" t="s">
        <v>2468</v>
      </c>
      <c r="B1221" s="1" t="s">
        <v>2469</v>
      </c>
      <c r="C1221" s="1">
        <v>19</v>
      </c>
      <c r="D1221" s="1" t="s">
        <v>23</v>
      </c>
      <c r="E1221" s="1" t="s">
        <v>38</v>
      </c>
      <c r="F1221" s="1" t="s">
        <v>39</v>
      </c>
      <c r="G1221" s="9">
        <v>213450.88</v>
      </c>
      <c r="H1221" s="1">
        <v>791808.75</v>
      </c>
      <c r="I1221" s="1">
        <v>452</v>
      </c>
      <c r="J1221" s="1">
        <v>209</v>
      </c>
      <c r="K1221" s="1">
        <v>248946</v>
      </c>
      <c r="L1221" s="1" t="s">
        <v>40</v>
      </c>
      <c r="M1221" s="1" t="s">
        <v>20</v>
      </c>
      <c r="N1221" s="1">
        <v>2.5</v>
      </c>
    </row>
    <row r="1222" spans="1:14" x14ac:dyDescent="0.3">
      <c r="A1222" s="1" t="s">
        <v>2470</v>
      </c>
      <c r="B1222" s="1" t="s">
        <v>2471</v>
      </c>
      <c r="C1222" s="1">
        <v>24</v>
      </c>
      <c r="D1222" s="1" t="s">
        <v>23</v>
      </c>
      <c r="E1222" s="1" t="s">
        <v>38</v>
      </c>
      <c r="F1222" s="1" t="s">
        <v>81</v>
      </c>
      <c r="G1222" s="9">
        <v>589981.01</v>
      </c>
      <c r="H1222" s="1">
        <v>374749.57</v>
      </c>
      <c r="I1222" s="1">
        <v>645</v>
      </c>
      <c r="J1222" s="1">
        <v>106</v>
      </c>
      <c r="K1222" s="1">
        <v>24296</v>
      </c>
      <c r="L1222" s="1" t="s">
        <v>26</v>
      </c>
      <c r="M1222" s="1" t="s">
        <v>20</v>
      </c>
      <c r="N1222" s="1">
        <v>1.1000000000000001</v>
      </c>
    </row>
    <row r="1223" spans="1:14" x14ac:dyDescent="0.3">
      <c r="A1223" s="1" t="s">
        <v>2472</v>
      </c>
      <c r="B1223" s="1" t="s">
        <v>2473</v>
      </c>
      <c r="C1223" s="1">
        <v>30</v>
      </c>
      <c r="D1223" s="1" t="s">
        <v>23</v>
      </c>
      <c r="E1223" s="1" t="s">
        <v>76</v>
      </c>
      <c r="F1223" s="1" t="s">
        <v>81</v>
      </c>
      <c r="G1223" s="9">
        <v>912203.37</v>
      </c>
      <c r="H1223" s="1">
        <v>1247842.23</v>
      </c>
      <c r="I1223" s="1">
        <v>745</v>
      </c>
      <c r="J1223" s="1">
        <v>490</v>
      </c>
      <c r="K1223" s="1">
        <v>147542</v>
      </c>
      <c r="L1223" s="1" t="s">
        <v>19</v>
      </c>
      <c r="M1223" s="1" t="s">
        <v>20</v>
      </c>
      <c r="N1223" s="1">
        <v>4.4000000000000004</v>
      </c>
    </row>
    <row r="1224" spans="1:14" x14ac:dyDescent="0.3">
      <c r="A1224" s="1" t="s">
        <v>2474</v>
      </c>
      <c r="B1224" s="1" t="s">
        <v>2475</v>
      </c>
      <c r="C1224" s="1">
        <v>38</v>
      </c>
      <c r="D1224" s="1" t="s">
        <v>16</v>
      </c>
      <c r="E1224" s="1" t="s">
        <v>17</v>
      </c>
      <c r="F1224" s="1" t="s">
        <v>25</v>
      </c>
      <c r="G1224" s="9">
        <v>717666.88</v>
      </c>
      <c r="H1224" s="1">
        <v>723304.64</v>
      </c>
      <c r="I1224" s="1">
        <v>540</v>
      </c>
      <c r="J1224" s="1">
        <v>270</v>
      </c>
      <c r="K1224" s="1">
        <v>205079</v>
      </c>
      <c r="L1224" s="1" t="s">
        <v>19</v>
      </c>
      <c r="M1224" s="1" t="s">
        <v>33</v>
      </c>
      <c r="N1224" s="1">
        <v>4.8</v>
      </c>
    </row>
    <row r="1225" spans="1:14" x14ac:dyDescent="0.3">
      <c r="A1225" s="1" t="s">
        <v>2476</v>
      </c>
      <c r="B1225" s="1" t="s">
        <v>2477</v>
      </c>
      <c r="C1225" s="1">
        <v>58</v>
      </c>
      <c r="D1225" s="1" t="s">
        <v>16</v>
      </c>
      <c r="E1225" s="1" t="s">
        <v>55</v>
      </c>
      <c r="F1225" s="1" t="s">
        <v>81</v>
      </c>
      <c r="G1225" s="9">
        <v>511177.86</v>
      </c>
      <c r="H1225" s="1">
        <v>776529.81</v>
      </c>
      <c r="I1225" s="1">
        <v>739</v>
      </c>
      <c r="J1225" s="1">
        <v>318</v>
      </c>
      <c r="K1225" s="1">
        <v>61576</v>
      </c>
      <c r="L1225" s="1" t="s">
        <v>26</v>
      </c>
      <c r="M1225" s="1" t="s">
        <v>20</v>
      </c>
      <c r="N1225" s="1">
        <v>1.5</v>
      </c>
    </row>
    <row r="1226" spans="1:14" x14ac:dyDescent="0.3">
      <c r="A1226" s="1" t="s">
        <v>2478</v>
      </c>
      <c r="B1226" s="1" t="s">
        <v>2479</v>
      </c>
      <c r="C1226" s="1">
        <v>41</v>
      </c>
      <c r="D1226" s="1" t="s">
        <v>16</v>
      </c>
      <c r="E1226" s="1" t="s">
        <v>48</v>
      </c>
      <c r="F1226" s="1" t="s">
        <v>39</v>
      </c>
      <c r="G1226" s="9">
        <v>1455793.9</v>
      </c>
      <c r="H1226" s="1">
        <v>157812.48000000001</v>
      </c>
      <c r="I1226" s="1">
        <v>757</v>
      </c>
      <c r="J1226" s="1">
        <v>194</v>
      </c>
      <c r="K1226" s="1">
        <v>168197</v>
      </c>
      <c r="L1226" s="1" t="s">
        <v>26</v>
      </c>
      <c r="M1226" s="1" t="s">
        <v>33</v>
      </c>
      <c r="N1226" s="1">
        <v>2.7</v>
      </c>
    </row>
    <row r="1227" spans="1:14" x14ac:dyDescent="0.3">
      <c r="A1227" s="1" t="s">
        <v>2480</v>
      </c>
      <c r="B1227" s="1" t="s">
        <v>2481</v>
      </c>
      <c r="C1227" s="1">
        <v>68</v>
      </c>
      <c r="D1227" s="1" t="s">
        <v>16</v>
      </c>
      <c r="E1227" s="1" t="s">
        <v>48</v>
      </c>
      <c r="F1227" s="1" t="s">
        <v>39</v>
      </c>
      <c r="G1227" s="9">
        <v>834718.64</v>
      </c>
      <c r="H1227" s="1">
        <v>1443049.49</v>
      </c>
      <c r="I1227" s="1">
        <v>639</v>
      </c>
      <c r="J1227" s="1">
        <v>362</v>
      </c>
      <c r="K1227" s="1">
        <v>93539</v>
      </c>
      <c r="L1227" s="1" t="s">
        <v>40</v>
      </c>
      <c r="M1227" s="1" t="s">
        <v>20</v>
      </c>
      <c r="N1227" s="1">
        <v>1.8</v>
      </c>
    </row>
    <row r="1228" spans="1:14" x14ac:dyDescent="0.3">
      <c r="A1228" s="1" t="s">
        <v>2482</v>
      </c>
      <c r="B1228" s="1" t="s">
        <v>2483</v>
      </c>
      <c r="C1228" s="1">
        <v>49</v>
      </c>
      <c r="D1228" s="1" t="s">
        <v>16</v>
      </c>
      <c r="E1228" s="1" t="s">
        <v>48</v>
      </c>
      <c r="F1228" s="1" t="s">
        <v>18</v>
      </c>
      <c r="G1228" s="9">
        <v>707280.05</v>
      </c>
      <c r="H1228" s="1">
        <v>48493.23</v>
      </c>
      <c r="I1228" s="1">
        <v>823</v>
      </c>
      <c r="J1228" s="1">
        <v>455</v>
      </c>
      <c r="K1228" s="1">
        <v>167665</v>
      </c>
      <c r="L1228" s="1" t="s">
        <v>30</v>
      </c>
      <c r="M1228" s="1" t="s">
        <v>33</v>
      </c>
      <c r="N1228" s="1">
        <v>1.4</v>
      </c>
    </row>
    <row r="1229" spans="1:14" x14ac:dyDescent="0.3">
      <c r="A1229" s="1" t="s">
        <v>2484</v>
      </c>
      <c r="B1229" s="1" t="s">
        <v>2485</v>
      </c>
      <c r="C1229" s="1">
        <v>56</v>
      </c>
      <c r="D1229" s="1" t="s">
        <v>16</v>
      </c>
      <c r="E1229" s="1" t="s">
        <v>48</v>
      </c>
      <c r="F1229" s="1" t="s">
        <v>18</v>
      </c>
      <c r="G1229" s="9">
        <v>402680.94</v>
      </c>
      <c r="H1229" s="1">
        <v>1123712.31</v>
      </c>
      <c r="I1229" s="1">
        <v>497</v>
      </c>
      <c r="J1229" s="1">
        <v>410</v>
      </c>
      <c r="K1229" s="1">
        <v>210795</v>
      </c>
      <c r="L1229" s="1" t="s">
        <v>30</v>
      </c>
      <c r="M1229" s="1" t="s">
        <v>20</v>
      </c>
      <c r="N1229" s="1">
        <v>4.0999999999999996</v>
      </c>
    </row>
    <row r="1230" spans="1:14" x14ac:dyDescent="0.3">
      <c r="A1230" s="1" t="s">
        <v>2486</v>
      </c>
      <c r="B1230" s="1" t="s">
        <v>2487</v>
      </c>
      <c r="C1230" s="1">
        <v>32</v>
      </c>
      <c r="D1230" s="1" t="s">
        <v>23</v>
      </c>
      <c r="E1230" s="1" t="s">
        <v>48</v>
      </c>
      <c r="F1230" s="1" t="s">
        <v>25</v>
      </c>
      <c r="G1230" s="9">
        <v>9564.58</v>
      </c>
      <c r="H1230" s="1">
        <v>890421.94</v>
      </c>
      <c r="I1230" s="1">
        <v>794</v>
      </c>
      <c r="J1230" s="1">
        <v>292</v>
      </c>
      <c r="K1230" s="1">
        <v>185955</v>
      </c>
      <c r="L1230" s="1" t="s">
        <v>26</v>
      </c>
      <c r="M1230" s="1" t="s">
        <v>20</v>
      </c>
      <c r="N1230" s="1">
        <v>1.6</v>
      </c>
    </row>
    <row r="1231" spans="1:14" x14ac:dyDescent="0.3">
      <c r="A1231" s="1" t="s">
        <v>2488</v>
      </c>
      <c r="B1231" s="1" t="s">
        <v>2489</v>
      </c>
      <c r="C1231" s="1">
        <v>70</v>
      </c>
      <c r="D1231" s="1" t="s">
        <v>16</v>
      </c>
      <c r="E1231" s="1" t="s">
        <v>55</v>
      </c>
      <c r="F1231" s="1" t="s">
        <v>39</v>
      </c>
      <c r="G1231" s="9">
        <v>970533.16</v>
      </c>
      <c r="H1231" s="1">
        <v>2394314.2400000002</v>
      </c>
      <c r="I1231" s="1">
        <v>423</v>
      </c>
      <c r="J1231" s="1">
        <v>156</v>
      </c>
      <c r="K1231" s="1">
        <v>232527</v>
      </c>
      <c r="L1231" s="1" t="s">
        <v>30</v>
      </c>
      <c r="M1231" s="1" t="s">
        <v>33</v>
      </c>
      <c r="N1231" s="1">
        <v>3.9</v>
      </c>
    </row>
    <row r="1232" spans="1:14" x14ac:dyDescent="0.3">
      <c r="A1232" s="1" t="s">
        <v>2490</v>
      </c>
      <c r="B1232" s="1" t="s">
        <v>2491</v>
      </c>
      <c r="C1232" s="1">
        <v>62</v>
      </c>
      <c r="D1232" s="1" t="s">
        <v>16</v>
      </c>
      <c r="E1232" s="1" t="s">
        <v>17</v>
      </c>
      <c r="F1232" s="1" t="s">
        <v>18</v>
      </c>
      <c r="G1232" s="9">
        <v>1279788.01</v>
      </c>
      <c r="H1232" s="1">
        <v>745442.53</v>
      </c>
      <c r="I1232" s="1">
        <v>509</v>
      </c>
      <c r="J1232" s="1">
        <v>78</v>
      </c>
      <c r="K1232" s="1">
        <v>234587</v>
      </c>
      <c r="L1232" s="1" t="s">
        <v>26</v>
      </c>
      <c r="M1232" s="1" t="s">
        <v>33</v>
      </c>
      <c r="N1232" s="1">
        <v>2.2000000000000002</v>
      </c>
    </row>
    <row r="1233" spans="1:14" x14ac:dyDescent="0.3">
      <c r="A1233" s="1" t="s">
        <v>2492</v>
      </c>
      <c r="B1233" s="1" t="s">
        <v>2493</v>
      </c>
      <c r="C1233" s="1">
        <v>67</v>
      </c>
      <c r="D1233" s="1" t="s">
        <v>23</v>
      </c>
      <c r="E1233" s="1" t="s">
        <v>29</v>
      </c>
      <c r="F1233" s="1" t="s">
        <v>81</v>
      </c>
      <c r="G1233" s="9">
        <v>672794.22</v>
      </c>
      <c r="H1233" s="1">
        <v>955048.64</v>
      </c>
      <c r="I1233" s="1">
        <v>460</v>
      </c>
      <c r="J1233" s="1">
        <v>309</v>
      </c>
      <c r="K1233" s="1">
        <v>58696</v>
      </c>
      <c r="L1233" s="1" t="s">
        <v>30</v>
      </c>
      <c r="M1233" s="1" t="s">
        <v>33</v>
      </c>
      <c r="N1233" s="1">
        <v>2.8</v>
      </c>
    </row>
    <row r="1234" spans="1:14" x14ac:dyDescent="0.3">
      <c r="A1234" s="1" t="s">
        <v>2494</v>
      </c>
      <c r="B1234" s="1" t="s">
        <v>2495</v>
      </c>
      <c r="C1234" s="1">
        <v>30</v>
      </c>
      <c r="D1234" s="1" t="s">
        <v>16</v>
      </c>
      <c r="E1234" s="1" t="s">
        <v>29</v>
      </c>
      <c r="F1234" s="1" t="s">
        <v>18</v>
      </c>
      <c r="G1234" s="9">
        <v>911780.99</v>
      </c>
      <c r="H1234" s="1">
        <v>711906.95</v>
      </c>
      <c r="I1234" s="1">
        <v>900</v>
      </c>
      <c r="J1234" s="1">
        <v>70</v>
      </c>
      <c r="K1234" s="1">
        <v>205151</v>
      </c>
      <c r="L1234" s="1" t="s">
        <v>26</v>
      </c>
      <c r="M1234" s="1" t="s">
        <v>33</v>
      </c>
      <c r="N1234" s="1">
        <v>2.2999999999999998</v>
      </c>
    </row>
    <row r="1235" spans="1:14" x14ac:dyDescent="0.3">
      <c r="A1235" s="1" t="s">
        <v>2496</v>
      </c>
      <c r="B1235" s="1" t="s">
        <v>2497</v>
      </c>
      <c r="C1235" s="1">
        <v>41</v>
      </c>
      <c r="D1235" s="1" t="s">
        <v>23</v>
      </c>
      <c r="E1235" s="1" t="s">
        <v>17</v>
      </c>
      <c r="F1235" s="1" t="s">
        <v>39</v>
      </c>
      <c r="G1235" s="9">
        <v>476326.75</v>
      </c>
      <c r="H1235" s="1">
        <v>1801253.12</v>
      </c>
      <c r="I1235" s="1">
        <v>863</v>
      </c>
      <c r="J1235" s="1">
        <v>18</v>
      </c>
      <c r="K1235" s="1">
        <v>57159</v>
      </c>
      <c r="L1235" s="1" t="s">
        <v>26</v>
      </c>
      <c r="M1235" s="1" t="s">
        <v>20</v>
      </c>
      <c r="N1235" s="1">
        <v>3.5</v>
      </c>
    </row>
    <row r="1236" spans="1:14" x14ac:dyDescent="0.3">
      <c r="A1236" s="1" t="s">
        <v>2498</v>
      </c>
      <c r="B1236" s="1" t="s">
        <v>2499</v>
      </c>
      <c r="C1236" s="1">
        <v>59</v>
      </c>
      <c r="D1236" s="1" t="s">
        <v>16</v>
      </c>
      <c r="E1236" s="1" t="s">
        <v>45</v>
      </c>
      <c r="F1236" s="1" t="s">
        <v>18</v>
      </c>
      <c r="G1236" s="9">
        <v>489401.17</v>
      </c>
      <c r="H1236" s="1">
        <v>1891228.44</v>
      </c>
      <c r="I1236" s="1">
        <v>340</v>
      </c>
      <c r="J1236" s="1">
        <v>457</v>
      </c>
      <c r="K1236" s="1">
        <v>94162</v>
      </c>
      <c r="L1236" s="1" t="s">
        <v>19</v>
      </c>
      <c r="M1236" s="1" t="s">
        <v>20</v>
      </c>
      <c r="N1236" s="1">
        <v>3</v>
      </c>
    </row>
    <row r="1237" spans="1:14" x14ac:dyDescent="0.3">
      <c r="A1237" s="1" t="s">
        <v>2500</v>
      </c>
      <c r="B1237" s="1" t="s">
        <v>2501</v>
      </c>
      <c r="C1237" s="1">
        <v>27</v>
      </c>
      <c r="D1237" s="1" t="s">
        <v>23</v>
      </c>
      <c r="E1237" s="1" t="s">
        <v>48</v>
      </c>
      <c r="F1237" s="1" t="s">
        <v>18</v>
      </c>
      <c r="G1237" s="9">
        <v>786556.97</v>
      </c>
      <c r="H1237" s="1">
        <v>2350306.9700000002</v>
      </c>
      <c r="I1237" s="1">
        <v>540</v>
      </c>
      <c r="J1237" s="1">
        <v>52</v>
      </c>
      <c r="K1237" s="1">
        <v>46805</v>
      </c>
      <c r="L1237" s="1" t="s">
        <v>30</v>
      </c>
      <c r="M1237" s="1" t="s">
        <v>33</v>
      </c>
      <c r="N1237" s="1">
        <v>4</v>
      </c>
    </row>
    <row r="1238" spans="1:14" x14ac:dyDescent="0.3">
      <c r="A1238" s="1" t="s">
        <v>2502</v>
      </c>
      <c r="B1238" s="1" t="s">
        <v>2503</v>
      </c>
      <c r="C1238" s="1">
        <v>66</v>
      </c>
      <c r="D1238" s="1" t="s">
        <v>23</v>
      </c>
      <c r="E1238" s="1" t="s">
        <v>38</v>
      </c>
      <c r="F1238" s="1" t="s">
        <v>18</v>
      </c>
      <c r="G1238" s="9">
        <v>741221.27</v>
      </c>
      <c r="H1238" s="1">
        <v>1362778.45</v>
      </c>
      <c r="I1238" s="1">
        <v>837</v>
      </c>
      <c r="J1238" s="1">
        <v>218</v>
      </c>
      <c r="K1238" s="1">
        <v>38239</v>
      </c>
      <c r="L1238" s="1" t="s">
        <v>40</v>
      </c>
      <c r="M1238" s="1" t="s">
        <v>33</v>
      </c>
      <c r="N1238" s="1">
        <v>3.6</v>
      </c>
    </row>
    <row r="1239" spans="1:14" x14ac:dyDescent="0.3">
      <c r="A1239" s="1" t="s">
        <v>2504</v>
      </c>
      <c r="B1239" s="1" t="s">
        <v>2505</v>
      </c>
      <c r="C1239" s="1">
        <v>28</v>
      </c>
      <c r="D1239" s="1" t="s">
        <v>16</v>
      </c>
      <c r="E1239" s="1" t="s">
        <v>76</v>
      </c>
      <c r="F1239" s="1" t="s">
        <v>39</v>
      </c>
      <c r="G1239" s="9">
        <v>1145332.29</v>
      </c>
      <c r="H1239" s="1">
        <v>2171662.64</v>
      </c>
      <c r="I1239" s="1">
        <v>532</v>
      </c>
      <c r="J1239" s="1">
        <v>127</v>
      </c>
      <c r="K1239" s="1">
        <v>50211</v>
      </c>
      <c r="L1239" s="1" t="s">
        <v>30</v>
      </c>
      <c r="M1239" s="1" t="s">
        <v>20</v>
      </c>
      <c r="N1239" s="1">
        <v>1.2</v>
      </c>
    </row>
    <row r="1240" spans="1:14" x14ac:dyDescent="0.3">
      <c r="A1240" s="1" t="s">
        <v>2506</v>
      </c>
      <c r="B1240" s="1" t="s">
        <v>2507</v>
      </c>
      <c r="C1240" s="1">
        <v>20</v>
      </c>
      <c r="D1240" s="1" t="s">
        <v>23</v>
      </c>
      <c r="E1240" s="1" t="s">
        <v>17</v>
      </c>
      <c r="F1240" s="1" t="s">
        <v>18</v>
      </c>
      <c r="G1240" s="9">
        <v>1138998.98</v>
      </c>
      <c r="H1240" s="1">
        <v>2374915.06</v>
      </c>
      <c r="I1240" s="1">
        <v>440</v>
      </c>
      <c r="J1240" s="1">
        <v>261</v>
      </c>
      <c r="K1240" s="1">
        <v>77409</v>
      </c>
      <c r="L1240" s="1" t="s">
        <v>26</v>
      </c>
      <c r="M1240" s="1" t="s">
        <v>33</v>
      </c>
      <c r="N1240" s="1">
        <v>2.2999999999999998</v>
      </c>
    </row>
    <row r="1241" spans="1:14" x14ac:dyDescent="0.3">
      <c r="A1241" s="1" t="s">
        <v>2508</v>
      </c>
      <c r="B1241" s="1" t="s">
        <v>2509</v>
      </c>
      <c r="C1241" s="1">
        <v>19</v>
      </c>
      <c r="D1241" s="1" t="s">
        <v>16</v>
      </c>
      <c r="E1241" s="1" t="s">
        <v>24</v>
      </c>
      <c r="F1241" s="1" t="s">
        <v>39</v>
      </c>
      <c r="G1241" s="9">
        <v>1073539.55</v>
      </c>
      <c r="H1241" s="1">
        <v>1037346.79</v>
      </c>
      <c r="I1241" s="1">
        <v>369</v>
      </c>
      <c r="J1241" s="1">
        <v>25</v>
      </c>
      <c r="K1241" s="1">
        <v>195542</v>
      </c>
      <c r="L1241" s="1" t="s">
        <v>30</v>
      </c>
      <c r="M1241" s="1" t="s">
        <v>20</v>
      </c>
      <c r="N1241" s="1">
        <v>1.8</v>
      </c>
    </row>
    <row r="1242" spans="1:14" x14ac:dyDescent="0.3">
      <c r="A1242" s="1" t="s">
        <v>2510</v>
      </c>
      <c r="B1242" s="1" t="s">
        <v>2511</v>
      </c>
      <c r="C1242" s="1">
        <v>40</v>
      </c>
      <c r="D1242" s="1" t="s">
        <v>23</v>
      </c>
      <c r="E1242" s="1" t="s">
        <v>24</v>
      </c>
      <c r="F1242" s="1" t="s">
        <v>39</v>
      </c>
      <c r="G1242" s="9">
        <v>125538.02</v>
      </c>
      <c r="H1242" s="1">
        <v>2204117.39</v>
      </c>
      <c r="I1242" s="1">
        <v>821</v>
      </c>
      <c r="J1242" s="1">
        <v>465</v>
      </c>
      <c r="K1242" s="1">
        <v>203979</v>
      </c>
      <c r="L1242" s="1" t="s">
        <v>19</v>
      </c>
      <c r="M1242" s="1" t="s">
        <v>33</v>
      </c>
      <c r="N1242" s="1">
        <v>4.3</v>
      </c>
    </row>
    <row r="1243" spans="1:14" x14ac:dyDescent="0.3">
      <c r="A1243" s="1" t="s">
        <v>2512</v>
      </c>
      <c r="B1243" s="1" t="s">
        <v>2513</v>
      </c>
      <c r="C1243" s="1">
        <v>35</v>
      </c>
      <c r="D1243" s="1" t="s">
        <v>23</v>
      </c>
      <c r="E1243" s="1" t="s">
        <v>24</v>
      </c>
      <c r="F1243" s="1" t="s">
        <v>81</v>
      </c>
      <c r="G1243" s="9">
        <v>564579.37</v>
      </c>
      <c r="H1243" s="1">
        <v>971049.46</v>
      </c>
      <c r="I1243" s="1">
        <v>506</v>
      </c>
      <c r="J1243" s="1">
        <v>391</v>
      </c>
      <c r="K1243" s="1">
        <v>165820</v>
      </c>
      <c r="L1243" s="1" t="s">
        <v>26</v>
      </c>
      <c r="M1243" s="1" t="s">
        <v>33</v>
      </c>
      <c r="N1243" s="1">
        <v>3.4</v>
      </c>
    </row>
    <row r="1244" spans="1:14" x14ac:dyDescent="0.3">
      <c r="A1244" s="1" t="s">
        <v>2514</v>
      </c>
      <c r="B1244" s="1" t="s">
        <v>2515</v>
      </c>
      <c r="C1244" s="1">
        <v>25</v>
      </c>
      <c r="D1244" s="1" t="s">
        <v>16</v>
      </c>
      <c r="E1244" s="1" t="s">
        <v>29</v>
      </c>
      <c r="F1244" s="1" t="s">
        <v>18</v>
      </c>
      <c r="G1244" s="9">
        <v>431645.69</v>
      </c>
      <c r="H1244" s="1">
        <v>72043.7</v>
      </c>
      <c r="I1244" s="1">
        <v>824</v>
      </c>
      <c r="J1244" s="1">
        <v>399</v>
      </c>
      <c r="K1244" s="1">
        <v>190514</v>
      </c>
      <c r="L1244" s="1" t="s">
        <v>30</v>
      </c>
      <c r="M1244" s="1" t="s">
        <v>20</v>
      </c>
      <c r="N1244" s="1">
        <v>2.6</v>
      </c>
    </row>
    <row r="1245" spans="1:14" x14ac:dyDescent="0.3">
      <c r="A1245" s="1" t="s">
        <v>2516</v>
      </c>
      <c r="B1245" s="1" t="s">
        <v>2517</v>
      </c>
      <c r="C1245" s="1">
        <v>65</v>
      </c>
      <c r="D1245" s="1" t="s">
        <v>16</v>
      </c>
      <c r="E1245" s="1" t="s">
        <v>55</v>
      </c>
      <c r="F1245" s="1" t="s">
        <v>81</v>
      </c>
      <c r="G1245" s="9">
        <v>312346.86</v>
      </c>
      <c r="H1245" s="1">
        <v>1899398.2</v>
      </c>
      <c r="I1245" s="1">
        <v>605</v>
      </c>
      <c r="J1245" s="1">
        <v>431</v>
      </c>
      <c r="K1245" s="1">
        <v>249175</v>
      </c>
      <c r="L1245" s="1" t="s">
        <v>30</v>
      </c>
      <c r="M1245" s="1" t="s">
        <v>20</v>
      </c>
      <c r="N1245" s="1">
        <v>3.8</v>
      </c>
    </row>
    <row r="1246" spans="1:14" x14ac:dyDescent="0.3">
      <c r="A1246" s="1" t="s">
        <v>2518</v>
      </c>
      <c r="B1246" s="1" t="s">
        <v>2519</v>
      </c>
      <c r="C1246" s="1">
        <v>59</v>
      </c>
      <c r="D1246" s="1" t="s">
        <v>23</v>
      </c>
      <c r="E1246" s="1" t="s">
        <v>76</v>
      </c>
      <c r="F1246" s="1" t="s">
        <v>39</v>
      </c>
      <c r="G1246" s="9">
        <v>348566.02</v>
      </c>
      <c r="H1246" s="1">
        <v>2225516.29</v>
      </c>
      <c r="I1246" s="1">
        <v>558</v>
      </c>
      <c r="J1246" s="1">
        <v>116</v>
      </c>
      <c r="K1246" s="1">
        <v>184132</v>
      </c>
      <c r="L1246" s="1" t="s">
        <v>40</v>
      </c>
      <c r="M1246" s="1" t="s">
        <v>33</v>
      </c>
      <c r="N1246" s="1">
        <v>3</v>
      </c>
    </row>
    <row r="1247" spans="1:14" x14ac:dyDescent="0.3">
      <c r="A1247" s="1" t="s">
        <v>2520</v>
      </c>
      <c r="B1247" s="1" t="s">
        <v>2521</v>
      </c>
      <c r="C1247" s="1">
        <v>31</v>
      </c>
      <c r="D1247" s="1" t="s">
        <v>16</v>
      </c>
      <c r="E1247" s="1" t="s">
        <v>45</v>
      </c>
      <c r="F1247" s="1" t="s">
        <v>25</v>
      </c>
      <c r="G1247" s="9">
        <v>1420458.64</v>
      </c>
      <c r="H1247" s="1">
        <v>971429.31</v>
      </c>
      <c r="I1247" s="1">
        <v>635</v>
      </c>
      <c r="J1247" s="1">
        <v>239</v>
      </c>
      <c r="K1247" s="1">
        <v>150965</v>
      </c>
      <c r="L1247" s="1" t="s">
        <v>26</v>
      </c>
      <c r="M1247" s="1" t="s">
        <v>20</v>
      </c>
      <c r="N1247" s="1">
        <v>4.9000000000000004</v>
      </c>
    </row>
    <row r="1248" spans="1:14" x14ac:dyDescent="0.3">
      <c r="A1248" s="1" t="s">
        <v>2522</v>
      </c>
      <c r="B1248" s="1" t="s">
        <v>2523</v>
      </c>
      <c r="C1248" s="1">
        <v>22</v>
      </c>
      <c r="D1248" s="1" t="s">
        <v>16</v>
      </c>
      <c r="E1248" s="1" t="s">
        <v>55</v>
      </c>
      <c r="F1248" s="1" t="s">
        <v>18</v>
      </c>
      <c r="G1248" s="9">
        <v>165356.07999999999</v>
      </c>
      <c r="H1248" s="1">
        <v>676.85</v>
      </c>
      <c r="I1248" s="1">
        <v>331</v>
      </c>
      <c r="J1248" s="1">
        <v>322</v>
      </c>
      <c r="K1248" s="1">
        <v>181577</v>
      </c>
      <c r="L1248" s="1" t="s">
        <v>26</v>
      </c>
      <c r="M1248" s="1" t="s">
        <v>33</v>
      </c>
      <c r="N1248" s="1">
        <v>1.2</v>
      </c>
    </row>
    <row r="1249" spans="1:14" x14ac:dyDescent="0.3">
      <c r="A1249" s="1" t="s">
        <v>2524</v>
      </c>
      <c r="B1249" s="1" t="s">
        <v>2525</v>
      </c>
      <c r="C1249" s="1">
        <v>42</v>
      </c>
      <c r="D1249" s="1" t="s">
        <v>16</v>
      </c>
      <c r="E1249" s="1" t="s">
        <v>17</v>
      </c>
      <c r="F1249" s="1" t="s">
        <v>81</v>
      </c>
      <c r="G1249" s="9">
        <v>854325.81</v>
      </c>
      <c r="H1249" s="1">
        <v>398717.99</v>
      </c>
      <c r="I1249" s="1">
        <v>354</v>
      </c>
      <c r="J1249" s="1">
        <v>193</v>
      </c>
      <c r="K1249" s="1">
        <v>211036</v>
      </c>
      <c r="L1249" s="1" t="s">
        <v>19</v>
      </c>
      <c r="M1249" s="1" t="s">
        <v>33</v>
      </c>
      <c r="N1249" s="1">
        <v>1.9</v>
      </c>
    </row>
    <row r="1250" spans="1:14" x14ac:dyDescent="0.3">
      <c r="A1250" s="1" t="s">
        <v>2526</v>
      </c>
      <c r="B1250" s="1" t="s">
        <v>2527</v>
      </c>
      <c r="C1250" s="1">
        <v>44</v>
      </c>
      <c r="D1250" s="1" t="s">
        <v>23</v>
      </c>
      <c r="E1250" s="1" t="s">
        <v>24</v>
      </c>
      <c r="F1250" s="1" t="s">
        <v>18</v>
      </c>
      <c r="G1250" s="9">
        <v>38479.83</v>
      </c>
      <c r="H1250" s="1">
        <v>1926109.21</v>
      </c>
      <c r="I1250" s="1">
        <v>422</v>
      </c>
      <c r="J1250" s="1">
        <v>159</v>
      </c>
      <c r="K1250" s="1">
        <v>191344</v>
      </c>
      <c r="L1250" s="1" t="s">
        <v>19</v>
      </c>
      <c r="M1250" s="1" t="s">
        <v>33</v>
      </c>
      <c r="N1250" s="1">
        <v>1.6</v>
      </c>
    </row>
    <row r="1251" spans="1:14" x14ac:dyDescent="0.3">
      <c r="A1251" s="1" t="s">
        <v>2528</v>
      </c>
      <c r="B1251" s="1" t="s">
        <v>2529</v>
      </c>
      <c r="C1251" s="1">
        <v>29</v>
      </c>
      <c r="D1251" s="1" t="s">
        <v>23</v>
      </c>
      <c r="E1251" s="1" t="s">
        <v>55</v>
      </c>
      <c r="F1251" s="1" t="s">
        <v>18</v>
      </c>
      <c r="G1251" s="9">
        <v>173317.22</v>
      </c>
      <c r="H1251" s="1">
        <v>1812022.57</v>
      </c>
      <c r="I1251" s="1">
        <v>766</v>
      </c>
      <c r="J1251" s="1">
        <v>450</v>
      </c>
      <c r="K1251" s="1">
        <v>23760</v>
      </c>
      <c r="L1251" s="1" t="s">
        <v>30</v>
      </c>
      <c r="M1251" s="1" t="s">
        <v>20</v>
      </c>
      <c r="N1251" s="1">
        <v>4.5</v>
      </c>
    </row>
    <row r="1252" spans="1:14" x14ac:dyDescent="0.3">
      <c r="A1252" s="1" t="s">
        <v>2530</v>
      </c>
      <c r="B1252" s="1" t="s">
        <v>643</v>
      </c>
      <c r="C1252" s="1">
        <v>64</v>
      </c>
      <c r="D1252" s="1" t="s">
        <v>23</v>
      </c>
      <c r="E1252" s="1" t="s">
        <v>45</v>
      </c>
      <c r="F1252" s="1" t="s">
        <v>25</v>
      </c>
      <c r="G1252" s="9">
        <v>234175.81</v>
      </c>
      <c r="H1252" s="1">
        <v>162894.42000000001</v>
      </c>
      <c r="I1252" s="1">
        <v>686</v>
      </c>
      <c r="J1252" s="1">
        <v>20</v>
      </c>
      <c r="K1252" s="1">
        <v>201351</v>
      </c>
      <c r="L1252" s="1" t="s">
        <v>40</v>
      </c>
      <c r="M1252" s="1" t="s">
        <v>20</v>
      </c>
      <c r="N1252" s="1">
        <v>1.1000000000000001</v>
      </c>
    </row>
    <row r="1253" spans="1:14" x14ac:dyDescent="0.3">
      <c r="A1253" s="1" t="s">
        <v>2531</v>
      </c>
      <c r="B1253" s="1" t="s">
        <v>2532</v>
      </c>
      <c r="C1253" s="1">
        <v>54</v>
      </c>
      <c r="D1253" s="1" t="s">
        <v>23</v>
      </c>
      <c r="E1253" s="1" t="s">
        <v>24</v>
      </c>
      <c r="F1253" s="1" t="s">
        <v>81</v>
      </c>
      <c r="G1253" s="9">
        <v>986631.99</v>
      </c>
      <c r="H1253" s="1">
        <v>2398572.21</v>
      </c>
      <c r="I1253" s="1">
        <v>587</v>
      </c>
      <c r="J1253" s="1">
        <v>368</v>
      </c>
      <c r="K1253" s="1">
        <v>31543</v>
      </c>
      <c r="L1253" s="1" t="s">
        <v>19</v>
      </c>
      <c r="M1253" s="1" t="s">
        <v>33</v>
      </c>
      <c r="N1253" s="1">
        <v>2.1</v>
      </c>
    </row>
    <row r="1254" spans="1:14" x14ac:dyDescent="0.3">
      <c r="A1254" s="1" t="s">
        <v>2533</v>
      </c>
      <c r="B1254" s="1" t="s">
        <v>2534</v>
      </c>
      <c r="C1254" s="1">
        <v>30</v>
      </c>
      <c r="D1254" s="1" t="s">
        <v>23</v>
      </c>
      <c r="E1254" s="1" t="s">
        <v>45</v>
      </c>
      <c r="F1254" s="1" t="s">
        <v>39</v>
      </c>
      <c r="G1254" s="9">
        <v>1036064.42</v>
      </c>
      <c r="H1254" s="1">
        <v>2025884.82</v>
      </c>
      <c r="I1254" s="1">
        <v>345</v>
      </c>
      <c r="J1254" s="1">
        <v>452</v>
      </c>
      <c r="K1254" s="1">
        <v>81556</v>
      </c>
      <c r="L1254" s="1" t="s">
        <v>19</v>
      </c>
      <c r="M1254" s="1" t="s">
        <v>33</v>
      </c>
      <c r="N1254" s="1">
        <v>3.3</v>
      </c>
    </row>
    <row r="1255" spans="1:14" x14ac:dyDescent="0.3">
      <c r="A1255" s="1" t="s">
        <v>2535</v>
      </c>
      <c r="B1255" s="1" t="s">
        <v>2536</v>
      </c>
      <c r="C1255" s="1">
        <v>41</v>
      </c>
      <c r="D1255" s="1" t="s">
        <v>23</v>
      </c>
      <c r="E1255" s="1" t="s">
        <v>38</v>
      </c>
      <c r="F1255" s="1" t="s">
        <v>81</v>
      </c>
      <c r="G1255" s="9">
        <v>899083.37</v>
      </c>
      <c r="H1255" s="1">
        <v>1140643.71</v>
      </c>
      <c r="I1255" s="1">
        <v>783</v>
      </c>
      <c r="J1255" s="1">
        <v>283</v>
      </c>
      <c r="K1255" s="1">
        <v>43177</v>
      </c>
      <c r="L1255" s="1" t="s">
        <v>26</v>
      </c>
      <c r="M1255" s="1" t="s">
        <v>33</v>
      </c>
      <c r="N1255" s="1">
        <v>1.7</v>
      </c>
    </row>
    <row r="1256" spans="1:14" x14ac:dyDescent="0.3">
      <c r="A1256" s="1" t="s">
        <v>2537</v>
      </c>
      <c r="B1256" s="1" t="s">
        <v>2538</v>
      </c>
      <c r="C1256" s="1">
        <v>29</v>
      </c>
      <c r="D1256" s="1" t="s">
        <v>23</v>
      </c>
      <c r="E1256" s="1" t="s">
        <v>17</v>
      </c>
      <c r="F1256" s="1" t="s">
        <v>81</v>
      </c>
      <c r="G1256" s="9">
        <v>605659.89</v>
      </c>
      <c r="H1256" s="1">
        <v>1168710.44</v>
      </c>
      <c r="I1256" s="1">
        <v>655</v>
      </c>
      <c r="J1256" s="1">
        <v>397</v>
      </c>
      <c r="K1256" s="1">
        <v>172099</v>
      </c>
      <c r="L1256" s="1" t="s">
        <v>30</v>
      </c>
      <c r="M1256" s="1" t="s">
        <v>20</v>
      </c>
      <c r="N1256" s="1">
        <v>2.2000000000000002</v>
      </c>
    </row>
    <row r="1257" spans="1:14" x14ac:dyDescent="0.3">
      <c r="A1257" s="1" t="s">
        <v>2539</v>
      </c>
      <c r="B1257" s="1" t="s">
        <v>2540</v>
      </c>
      <c r="C1257" s="1">
        <v>56</v>
      </c>
      <c r="D1257" s="1" t="s">
        <v>16</v>
      </c>
      <c r="E1257" s="1" t="s">
        <v>76</v>
      </c>
      <c r="F1257" s="1" t="s">
        <v>81</v>
      </c>
      <c r="G1257" s="9">
        <v>1327734.6599999999</v>
      </c>
      <c r="H1257" s="1">
        <v>832010.19</v>
      </c>
      <c r="I1257" s="1">
        <v>667</v>
      </c>
      <c r="J1257" s="1">
        <v>335</v>
      </c>
      <c r="K1257" s="1">
        <v>86374</v>
      </c>
      <c r="L1257" s="1" t="s">
        <v>40</v>
      </c>
      <c r="M1257" s="1" t="s">
        <v>33</v>
      </c>
      <c r="N1257" s="1">
        <v>2.9</v>
      </c>
    </row>
    <row r="1258" spans="1:14" x14ac:dyDescent="0.3">
      <c r="A1258" s="1" t="s">
        <v>2541</v>
      </c>
      <c r="B1258" s="1" t="s">
        <v>2542</v>
      </c>
      <c r="C1258" s="1">
        <v>52</v>
      </c>
      <c r="D1258" s="1" t="s">
        <v>16</v>
      </c>
      <c r="E1258" s="1" t="s">
        <v>17</v>
      </c>
      <c r="F1258" s="1" t="s">
        <v>18</v>
      </c>
      <c r="G1258" s="9">
        <v>1248859.57</v>
      </c>
      <c r="H1258" s="1">
        <v>398569.92</v>
      </c>
      <c r="I1258" s="1">
        <v>887</v>
      </c>
      <c r="J1258" s="1">
        <v>76</v>
      </c>
      <c r="K1258" s="1">
        <v>185857</v>
      </c>
      <c r="L1258" s="1" t="s">
        <v>30</v>
      </c>
      <c r="M1258" s="1" t="s">
        <v>20</v>
      </c>
      <c r="N1258" s="1">
        <v>4.9000000000000004</v>
      </c>
    </row>
    <row r="1259" spans="1:14" x14ac:dyDescent="0.3">
      <c r="A1259" s="1" t="s">
        <v>2543</v>
      </c>
      <c r="B1259" s="1" t="s">
        <v>2544</v>
      </c>
      <c r="C1259" s="1">
        <v>50</v>
      </c>
      <c r="D1259" s="1" t="s">
        <v>16</v>
      </c>
      <c r="E1259" s="1" t="s">
        <v>24</v>
      </c>
      <c r="F1259" s="1" t="s">
        <v>81</v>
      </c>
      <c r="G1259" s="9">
        <v>67757.740000000005</v>
      </c>
      <c r="H1259" s="1">
        <v>259538.28</v>
      </c>
      <c r="I1259" s="1">
        <v>304</v>
      </c>
      <c r="J1259" s="1">
        <v>135</v>
      </c>
      <c r="K1259" s="1">
        <v>162605</v>
      </c>
      <c r="L1259" s="1" t="s">
        <v>30</v>
      </c>
      <c r="M1259" s="1" t="s">
        <v>20</v>
      </c>
      <c r="N1259" s="1">
        <v>4.7</v>
      </c>
    </row>
    <row r="1260" spans="1:14" x14ac:dyDescent="0.3">
      <c r="A1260" s="1" t="s">
        <v>2545</v>
      </c>
      <c r="B1260" s="1" t="s">
        <v>2546</v>
      </c>
      <c r="C1260" s="1">
        <v>38</v>
      </c>
      <c r="D1260" s="1" t="s">
        <v>23</v>
      </c>
      <c r="E1260" s="1" t="s">
        <v>24</v>
      </c>
      <c r="F1260" s="1" t="s">
        <v>81</v>
      </c>
      <c r="G1260" s="9">
        <v>1255520.83</v>
      </c>
      <c r="H1260" s="1">
        <v>933305.31</v>
      </c>
      <c r="I1260" s="1">
        <v>704</v>
      </c>
      <c r="J1260" s="1">
        <v>272</v>
      </c>
      <c r="K1260" s="1">
        <v>211851</v>
      </c>
      <c r="L1260" s="1" t="s">
        <v>30</v>
      </c>
      <c r="M1260" s="1" t="s">
        <v>20</v>
      </c>
      <c r="N1260" s="1">
        <v>3.6</v>
      </c>
    </row>
    <row r="1261" spans="1:14" x14ac:dyDescent="0.3">
      <c r="A1261" s="1" t="s">
        <v>2547</v>
      </c>
      <c r="B1261" s="1" t="s">
        <v>2548</v>
      </c>
      <c r="C1261" s="1">
        <v>32</v>
      </c>
      <c r="D1261" s="1" t="s">
        <v>16</v>
      </c>
      <c r="E1261" s="1" t="s">
        <v>45</v>
      </c>
      <c r="F1261" s="1" t="s">
        <v>39</v>
      </c>
      <c r="G1261" s="9">
        <v>967633.89</v>
      </c>
      <c r="H1261" s="1">
        <v>389252.95</v>
      </c>
      <c r="I1261" s="1">
        <v>492</v>
      </c>
      <c r="J1261" s="1">
        <v>371</v>
      </c>
      <c r="K1261" s="1">
        <v>187895</v>
      </c>
      <c r="L1261" s="1" t="s">
        <v>19</v>
      </c>
      <c r="M1261" s="1" t="s">
        <v>33</v>
      </c>
      <c r="N1261" s="1">
        <v>1</v>
      </c>
    </row>
    <row r="1262" spans="1:14" x14ac:dyDescent="0.3">
      <c r="A1262" s="1" t="s">
        <v>2549</v>
      </c>
      <c r="B1262" s="1" t="s">
        <v>2550</v>
      </c>
      <c r="C1262" s="1">
        <v>33</v>
      </c>
      <c r="D1262" s="1" t="s">
        <v>16</v>
      </c>
      <c r="E1262" s="1" t="s">
        <v>76</v>
      </c>
      <c r="F1262" s="1" t="s">
        <v>18</v>
      </c>
      <c r="G1262" s="9">
        <v>612149.21</v>
      </c>
      <c r="H1262" s="1">
        <v>2063079.89</v>
      </c>
      <c r="I1262" s="1">
        <v>854</v>
      </c>
      <c r="J1262" s="1">
        <v>331</v>
      </c>
      <c r="K1262" s="1">
        <v>218128</v>
      </c>
      <c r="L1262" s="1" t="s">
        <v>19</v>
      </c>
      <c r="M1262" s="1" t="s">
        <v>33</v>
      </c>
      <c r="N1262" s="1">
        <v>1.4</v>
      </c>
    </row>
    <row r="1263" spans="1:14" x14ac:dyDescent="0.3">
      <c r="A1263" s="1" t="s">
        <v>2551</v>
      </c>
      <c r="B1263" s="1" t="s">
        <v>2552</v>
      </c>
      <c r="C1263" s="1">
        <v>25</v>
      </c>
      <c r="D1263" s="1" t="s">
        <v>16</v>
      </c>
      <c r="E1263" s="1" t="s">
        <v>17</v>
      </c>
      <c r="F1263" s="1" t="s">
        <v>81</v>
      </c>
      <c r="G1263" s="9">
        <v>282642.59999999998</v>
      </c>
      <c r="H1263" s="1">
        <v>1940169.63</v>
      </c>
      <c r="I1263" s="1">
        <v>373</v>
      </c>
      <c r="J1263" s="1">
        <v>39</v>
      </c>
      <c r="K1263" s="1">
        <v>74286</v>
      </c>
      <c r="L1263" s="1" t="s">
        <v>30</v>
      </c>
      <c r="M1263" s="1" t="s">
        <v>20</v>
      </c>
      <c r="N1263" s="1">
        <v>2</v>
      </c>
    </row>
    <row r="1264" spans="1:14" x14ac:dyDescent="0.3">
      <c r="A1264" s="1" t="s">
        <v>2553</v>
      </c>
      <c r="B1264" s="1" t="s">
        <v>2554</v>
      </c>
      <c r="C1264" s="1">
        <v>62</v>
      </c>
      <c r="D1264" s="1" t="s">
        <v>23</v>
      </c>
      <c r="E1264" s="1" t="s">
        <v>76</v>
      </c>
      <c r="F1264" s="1" t="s">
        <v>25</v>
      </c>
      <c r="G1264" s="9">
        <v>453822.14</v>
      </c>
      <c r="H1264" s="1">
        <v>969368.28</v>
      </c>
      <c r="I1264" s="1">
        <v>513</v>
      </c>
      <c r="J1264" s="1">
        <v>160</v>
      </c>
      <c r="K1264" s="1">
        <v>176646</v>
      </c>
      <c r="L1264" s="1" t="s">
        <v>19</v>
      </c>
      <c r="M1264" s="1" t="s">
        <v>33</v>
      </c>
      <c r="N1264" s="1">
        <v>2.7</v>
      </c>
    </row>
    <row r="1265" spans="1:14" x14ac:dyDescent="0.3">
      <c r="A1265" s="1" t="s">
        <v>2555</v>
      </c>
      <c r="B1265" s="1" t="s">
        <v>2556</v>
      </c>
      <c r="C1265" s="1">
        <v>38</v>
      </c>
      <c r="D1265" s="1" t="s">
        <v>16</v>
      </c>
      <c r="E1265" s="1" t="s">
        <v>17</v>
      </c>
      <c r="F1265" s="1" t="s">
        <v>81</v>
      </c>
      <c r="G1265" s="9">
        <v>51405.279999999999</v>
      </c>
      <c r="H1265" s="1">
        <v>1751578.76</v>
      </c>
      <c r="I1265" s="1">
        <v>692</v>
      </c>
      <c r="J1265" s="1">
        <v>390</v>
      </c>
      <c r="K1265" s="1">
        <v>112142</v>
      </c>
      <c r="L1265" s="1" t="s">
        <v>30</v>
      </c>
      <c r="M1265" s="1" t="s">
        <v>20</v>
      </c>
      <c r="N1265" s="1">
        <v>3.2</v>
      </c>
    </row>
    <row r="1266" spans="1:14" x14ac:dyDescent="0.3">
      <c r="A1266" s="1" t="s">
        <v>2557</v>
      </c>
      <c r="B1266" s="1" t="s">
        <v>2558</v>
      </c>
      <c r="C1266" s="1">
        <v>42</v>
      </c>
      <c r="D1266" s="1" t="s">
        <v>16</v>
      </c>
      <c r="E1266" s="1" t="s">
        <v>29</v>
      </c>
      <c r="F1266" s="1" t="s">
        <v>39</v>
      </c>
      <c r="G1266" s="9">
        <v>1444338.55</v>
      </c>
      <c r="H1266" s="1">
        <v>1897623.69</v>
      </c>
      <c r="I1266" s="1">
        <v>388</v>
      </c>
      <c r="J1266" s="1">
        <v>248</v>
      </c>
      <c r="K1266" s="1">
        <v>30137</v>
      </c>
      <c r="L1266" s="1" t="s">
        <v>19</v>
      </c>
      <c r="M1266" s="1" t="s">
        <v>33</v>
      </c>
      <c r="N1266" s="1">
        <v>2</v>
      </c>
    </row>
    <row r="1267" spans="1:14" x14ac:dyDescent="0.3">
      <c r="A1267" s="1" t="s">
        <v>2559</v>
      </c>
      <c r="B1267" s="1" t="s">
        <v>2560</v>
      </c>
      <c r="C1267" s="1">
        <v>42</v>
      </c>
      <c r="D1267" s="1" t="s">
        <v>23</v>
      </c>
      <c r="E1267" s="1" t="s">
        <v>24</v>
      </c>
      <c r="F1267" s="1" t="s">
        <v>25</v>
      </c>
      <c r="G1267" s="9">
        <v>509387.13</v>
      </c>
      <c r="H1267" s="1">
        <v>1509021.84</v>
      </c>
      <c r="I1267" s="1">
        <v>780</v>
      </c>
      <c r="J1267" s="1">
        <v>22</v>
      </c>
      <c r="K1267" s="1">
        <v>216359</v>
      </c>
      <c r="L1267" s="1" t="s">
        <v>19</v>
      </c>
      <c r="M1267" s="1" t="s">
        <v>20</v>
      </c>
      <c r="N1267" s="1">
        <v>2.2999999999999998</v>
      </c>
    </row>
    <row r="1268" spans="1:14" x14ac:dyDescent="0.3">
      <c r="A1268" s="1" t="s">
        <v>2561</v>
      </c>
      <c r="B1268" s="1" t="s">
        <v>2562</v>
      </c>
      <c r="C1268" s="1">
        <v>61</v>
      </c>
      <c r="D1268" s="1" t="s">
        <v>16</v>
      </c>
      <c r="E1268" s="1" t="s">
        <v>38</v>
      </c>
      <c r="F1268" s="1" t="s">
        <v>25</v>
      </c>
      <c r="G1268" s="9">
        <v>892176.45</v>
      </c>
      <c r="H1268" s="1">
        <v>1688106.73</v>
      </c>
      <c r="I1268" s="1">
        <v>328</v>
      </c>
      <c r="J1268" s="1">
        <v>483</v>
      </c>
      <c r="K1268" s="1">
        <v>53655</v>
      </c>
      <c r="L1268" s="1" t="s">
        <v>26</v>
      </c>
      <c r="M1268" s="1" t="s">
        <v>33</v>
      </c>
      <c r="N1268" s="1">
        <v>3</v>
      </c>
    </row>
    <row r="1269" spans="1:14" x14ac:dyDescent="0.3">
      <c r="A1269" s="1" t="s">
        <v>2563</v>
      </c>
      <c r="B1269" s="1" t="s">
        <v>2564</v>
      </c>
      <c r="C1269" s="1">
        <v>69</v>
      </c>
      <c r="D1269" s="1" t="s">
        <v>23</v>
      </c>
      <c r="E1269" s="1" t="s">
        <v>38</v>
      </c>
      <c r="F1269" s="1" t="s">
        <v>25</v>
      </c>
      <c r="G1269" s="9">
        <v>982284.96</v>
      </c>
      <c r="H1269" s="1">
        <v>121787.2</v>
      </c>
      <c r="I1269" s="1">
        <v>899</v>
      </c>
      <c r="J1269" s="1">
        <v>65</v>
      </c>
      <c r="K1269" s="1">
        <v>160420</v>
      </c>
      <c r="L1269" s="1" t="s">
        <v>26</v>
      </c>
      <c r="M1269" s="1" t="s">
        <v>20</v>
      </c>
      <c r="N1269" s="1">
        <v>3.8</v>
      </c>
    </row>
    <row r="1270" spans="1:14" x14ac:dyDescent="0.3">
      <c r="A1270" s="1" t="s">
        <v>2565</v>
      </c>
      <c r="B1270" s="1" t="s">
        <v>2566</v>
      </c>
      <c r="C1270" s="1">
        <v>20</v>
      </c>
      <c r="D1270" s="1" t="s">
        <v>16</v>
      </c>
      <c r="E1270" s="1" t="s">
        <v>45</v>
      </c>
      <c r="F1270" s="1" t="s">
        <v>25</v>
      </c>
      <c r="G1270" s="9">
        <v>903674.92</v>
      </c>
      <c r="H1270" s="1">
        <v>1066829.01</v>
      </c>
      <c r="I1270" s="1">
        <v>458</v>
      </c>
      <c r="J1270" s="1">
        <v>500</v>
      </c>
      <c r="K1270" s="1">
        <v>96096</v>
      </c>
      <c r="L1270" s="1" t="s">
        <v>40</v>
      </c>
      <c r="M1270" s="1" t="s">
        <v>20</v>
      </c>
      <c r="N1270" s="1">
        <v>4.3</v>
      </c>
    </row>
    <row r="1271" spans="1:14" x14ac:dyDescent="0.3">
      <c r="A1271" s="1" t="s">
        <v>2567</v>
      </c>
      <c r="B1271" s="1" t="s">
        <v>2568</v>
      </c>
      <c r="C1271" s="1">
        <v>42</v>
      </c>
      <c r="D1271" s="1" t="s">
        <v>23</v>
      </c>
      <c r="E1271" s="1" t="s">
        <v>38</v>
      </c>
      <c r="F1271" s="1" t="s">
        <v>39</v>
      </c>
      <c r="G1271" s="9">
        <v>1118073.51</v>
      </c>
      <c r="H1271" s="1">
        <v>1634678.84</v>
      </c>
      <c r="I1271" s="1">
        <v>480</v>
      </c>
      <c r="J1271" s="1">
        <v>400</v>
      </c>
      <c r="K1271" s="1">
        <v>223355</v>
      </c>
      <c r="L1271" s="1" t="s">
        <v>26</v>
      </c>
      <c r="M1271" s="1" t="s">
        <v>33</v>
      </c>
      <c r="N1271" s="1">
        <v>2.5</v>
      </c>
    </row>
    <row r="1272" spans="1:14" x14ac:dyDescent="0.3">
      <c r="A1272" s="1" t="s">
        <v>2569</v>
      </c>
      <c r="B1272" s="1" t="s">
        <v>2570</v>
      </c>
      <c r="C1272" s="1">
        <v>32</v>
      </c>
      <c r="D1272" s="1" t="s">
        <v>16</v>
      </c>
      <c r="E1272" s="1" t="s">
        <v>76</v>
      </c>
      <c r="F1272" s="1" t="s">
        <v>25</v>
      </c>
      <c r="G1272" s="9">
        <v>669776.29</v>
      </c>
      <c r="H1272" s="1">
        <v>1751950.07</v>
      </c>
      <c r="I1272" s="1">
        <v>418</v>
      </c>
      <c r="J1272" s="1">
        <v>56</v>
      </c>
      <c r="K1272" s="1">
        <v>207125</v>
      </c>
      <c r="L1272" s="1" t="s">
        <v>30</v>
      </c>
      <c r="M1272" s="1" t="s">
        <v>33</v>
      </c>
      <c r="N1272" s="1">
        <v>1.7</v>
      </c>
    </row>
    <row r="1273" spans="1:14" x14ac:dyDescent="0.3">
      <c r="A1273" s="1" t="s">
        <v>2571</v>
      </c>
      <c r="B1273" s="1" t="s">
        <v>2572</v>
      </c>
      <c r="C1273" s="1">
        <v>68</v>
      </c>
      <c r="D1273" s="1" t="s">
        <v>23</v>
      </c>
      <c r="E1273" s="1" t="s">
        <v>45</v>
      </c>
      <c r="F1273" s="1" t="s">
        <v>18</v>
      </c>
      <c r="G1273" s="9">
        <v>647810.31999999995</v>
      </c>
      <c r="H1273" s="1">
        <v>1771022.02</v>
      </c>
      <c r="I1273" s="1">
        <v>677</v>
      </c>
      <c r="J1273" s="1">
        <v>330</v>
      </c>
      <c r="K1273" s="1">
        <v>203217</v>
      </c>
      <c r="L1273" s="1" t="s">
        <v>26</v>
      </c>
      <c r="M1273" s="1" t="s">
        <v>33</v>
      </c>
      <c r="N1273" s="1">
        <v>3.2</v>
      </c>
    </row>
    <row r="1274" spans="1:14" x14ac:dyDescent="0.3">
      <c r="A1274" s="1" t="s">
        <v>2573</v>
      </c>
      <c r="B1274" s="1" t="s">
        <v>2574</v>
      </c>
      <c r="C1274" s="1">
        <v>53</v>
      </c>
      <c r="D1274" s="1" t="s">
        <v>23</v>
      </c>
      <c r="E1274" s="1" t="s">
        <v>45</v>
      </c>
      <c r="F1274" s="1" t="s">
        <v>25</v>
      </c>
      <c r="G1274" s="9">
        <v>636271.56999999995</v>
      </c>
      <c r="H1274" s="1">
        <v>162938.35</v>
      </c>
      <c r="I1274" s="1">
        <v>569</v>
      </c>
      <c r="J1274" s="1">
        <v>454</v>
      </c>
      <c r="K1274" s="1">
        <v>204037</v>
      </c>
      <c r="L1274" s="1" t="s">
        <v>40</v>
      </c>
      <c r="M1274" s="1" t="s">
        <v>20</v>
      </c>
      <c r="N1274" s="1">
        <v>4.8</v>
      </c>
    </row>
    <row r="1275" spans="1:14" x14ac:dyDescent="0.3">
      <c r="A1275" s="1" t="s">
        <v>2575</v>
      </c>
      <c r="B1275" s="1" t="s">
        <v>2576</v>
      </c>
      <c r="C1275" s="1">
        <v>25</v>
      </c>
      <c r="D1275" s="1" t="s">
        <v>23</v>
      </c>
      <c r="E1275" s="1" t="s">
        <v>55</v>
      </c>
      <c r="F1275" s="1" t="s">
        <v>25</v>
      </c>
      <c r="G1275" s="9">
        <v>247183.01</v>
      </c>
      <c r="H1275" s="1">
        <v>1426051.56</v>
      </c>
      <c r="I1275" s="1">
        <v>501</v>
      </c>
      <c r="J1275" s="1">
        <v>233</v>
      </c>
      <c r="K1275" s="1">
        <v>26320</v>
      </c>
      <c r="L1275" s="1" t="s">
        <v>19</v>
      </c>
      <c r="M1275" s="1" t="s">
        <v>20</v>
      </c>
      <c r="N1275" s="1">
        <v>3.6</v>
      </c>
    </row>
    <row r="1276" spans="1:14" x14ac:dyDescent="0.3">
      <c r="A1276" s="1" t="s">
        <v>2577</v>
      </c>
      <c r="B1276" s="1" t="s">
        <v>2578</v>
      </c>
      <c r="C1276" s="1">
        <v>55</v>
      </c>
      <c r="D1276" s="1" t="s">
        <v>23</v>
      </c>
      <c r="E1276" s="1" t="s">
        <v>76</v>
      </c>
      <c r="F1276" s="1" t="s">
        <v>81</v>
      </c>
      <c r="G1276" s="9">
        <v>178195.49</v>
      </c>
      <c r="H1276" s="1">
        <v>99389.41</v>
      </c>
      <c r="I1276" s="1">
        <v>507</v>
      </c>
      <c r="J1276" s="1">
        <v>80</v>
      </c>
      <c r="K1276" s="1">
        <v>128332</v>
      </c>
      <c r="L1276" s="1" t="s">
        <v>19</v>
      </c>
      <c r="M1276" s="1" t="s">
        <v>20</v>
      </c>
      <c r="N1276" s="1">
        <v>2.2000000000000002</v>
      </c>
    </row>
    <row r="1277" spans="1:14" x14ac:dyDescent="0.3">
      <c r="A1277" s="1" t="s">
        <v>2579</v>
      </c>
      <c r="B1277" s="1" t="s">
        <v>2580</v>
      </c>
      <c r="C1277" s="1">
        <v>25</v>
      </c>
      <c r="D1277" s="1" t="s">
        <v>16</v>
      </c>
      <c r="E1277" s="1" t="s">
        <v>48</v>
      </c>
      <c r="F1277" s="1" t="s">
        <v>39</v>
      </c>
      <c r="G1277" s="9">
        <v>1000537.23</v>
      </c>
      <c r="H1277" s="1">
        <v>1463932.13</v>
      </c>
      <c r="I1277" s="1">
        <v>309</v>
      </c>
      <c r="J1277" s="1">
        <v>160</v>
      </c>
      <c r="K1277" s="1">
        <v>157511</v>
      </c>
      <c r="L1277" s="1" t="s">
        <v>30</v>
      </c>
      <c r="M1277" s="1" t="s">
        <v>20</v>
      </c>
      <c r="N1277" s="1">
        <v>4.5</v>
      </c>
    </row>
    <row r="1278" spans="1:14" x14ac:dyDescent="0.3">
      <c r="A1278" s="1" t="s">
        <v>2581</v>
      </c>
      <c r="B1278" s="1" t="s">
        <v>2582</v>
      </c>
      <c r="C1278" s="1">
        <v>30</v>
      </c>
      <c r="D1278" s="1" t="s">
        <v>16</v>
      </c>
      <c r="E1278" s="1" t="s">
        <v>38</v>
      </c>
      <c r="F1278" s="1" t="s">
        <v>39</v>
      </c>
      <c r="G1278" s="9">
        <v>714765.53</v>
      </c>
      <c r="H1278" s="1">
        <v>1196835.8799999999</v>
      </c>
      <c r="I1278" s="1">
        <v>401</v>
      </c>
      <c r="J1278" s="1">
        <v>93</v>
      </c>
      <c r="K1278" s="1">
        <v>194073</v>
      </c>
      <c r="L1278" s="1" t="s">
        <v>40</v>
      </c>
      <c r="M1278" s="1" t="s">
        <v>20</v>
      </c>
      <c r="N1278" s="1">
        <v>2.6</v>
      </c>
    </row>
    <row r="1279" spans="1:14" x14ac:dyDescent="0.3">
      <c r="A1279" s="1" t="s">
        <v>2583</v>
      </c>
      <c r="B1279" s="1" t="s">
        <v>2584</v>
      </c>
      <c r="C1279" s="1">
        <v>48</v>
      </c>
      <c r="D1279" s="1" t="s">
        <v>23</v>
      </c>
      <c r="E1279" s="1" t="s">
        <v>48</v>
      </c>
      <c r="F1279" s="1" t="s">
        <v>39</v>
      </c>
      <c r="G1279" s="9">
        <v>1484851.06</v>
      </c>
      <c r="H1279" s="1">
        <v>181475.24</v>
      </c>
      <c r="I1279" s="1">
        <v>468</v>
      </c>
      <c r="J1279" s="1">
        <v>131</v>
      </c>
      <c r="K1279" s="1">
        <v>154580</v>
      </c>
      <c r="L1279" s="1" t="s">
        <v>26</v>
      </c>
      <c r="M1279" s="1" t="s">
        <v>33</v>
      </c>
      <c r="N1279" s="1">
        <v>3.5</v>
      </c>
    </row>
    <row r="1280" spans="1:14" x14ac:dyDescent="0.3">
      <c r="A1280" s="1" t="s">
        <v>2585</v>
      </c>
      <c r="B1280" s="1" t="s">
        <v>2586</v>
      </c>
      <c r="C1280" s="1">
        <v>21</v>
      </c>
      <c r="D1280" s="1" t="s">
        <v>23</v>
      </c>
      <c r="E1280" s="1" t="s">
        <v>17</v>
      </c>
      <c r="F1280" s="1" t="s">
        <v>25</v>
      </c>
      <c r="G1280" s="9">
        <v>650647.19999999995</v>
      </c>
      <c r="H1280" s="1">
        <v>2176671.8199999998</v>
      </c>
      <c r="I1280" s="1">
        <v>704</v>
      </c>
      <c r="J1280" s="1">
        <v>19</v>
      </c>
      <c r="K1280" s="1">
        <v>217229</v>
      </c>
      <c r="L1280" s="1" t="s">
        <v>40</v>
      </c>
      <c r="M1280" s="1" t="s">
        <v>20</v>
      </c>
      <c r="N1280" s="1">
        <v>1.8</v>
      </c>
    </row>
    <row r="1281" spans="1:14" x14ac:dyDescent="0.3">
      <c r="A1281" s="1" t="s">
        <v>2587</v>
      </c>
      <c r="B1281" s="1" t="s">
        <v>2588</v>
      </c>
      <c r="C1281" s="1">
        <v>48</v>
      </c>
      <c r="D1281" s="1" t="s">
        <v>16</v>
      </c>
      <c r="E1281" s="1" t="s">
        <v>24</v>
      </c>
      <c r="F1281" s="1" t="s">
        <v>81</v>
      </c>
      <c r="G1281" s="9">
        <v>1424334.92</v>
      </c>
      <c r="H1281" s="1">
        <v>1273868.21</v>
      </c>
      <c r="I1281" s="1">
        <v>716</v>
      </c>
      <c r="J1281" s="1">
        <v>335</v>
      </c>
      <c r="K1281" s="1">
        <v>181191</v>
      </c>
      <c r="L1281" s="1" t="s">
        <v>30</v>
      </c>
      <c r="M1281" s="1" t="s">
        <v>20</v>
      </c>
      <c r="N1281" s="1">
        <v>4.5</v>
      </c>
    </row>
    <row r="1282" spans="1:14" x14ac:dyDescent="0.3">
      <c r="A1282" s="1" t="s">
        <v>2589</v>
      </c>
      <c r="B1282" s="1" t="s">
        <v>2590</v>
      </c>
      <c r="C1282" s="1">
        <v>45</v>
      </c>
      <c r="D1282" s="1" t="s">
        <v>16</v>
      </c>
      <c r="E1282" s="1" t="s">
        <v>76</v>
      </c>
      <c r="F1282" s="1" t="s">
        <v>81</v>
      </c>
      <c r="G1282" s="9">
        <v>51216.45</v>
      </c>
      <c r="H1282" s="1">
        <v>165834.94</v>
      </c>
      <c r="I1282" s="1">
        <v>386</v>
      </c>
      <c r="J1282" s="1">
        <v>365</v>
      </c>
      <c r="K1282" s="1">
        <v>177239</v>
      </c>
      <c r="L1282" s="1" t="s">
        <v>26</v>
      </c>
      <c r="M1282" s="1" t="s">
        <v>33</v>
      </c>
      <c r="N1282" s="1">
        <v>4.5999999999999996</v>
      </c>
    </row>
    <row r="1283" spans="1:14" x14ac:dyDescent="0.3">
      <c r="A1283" s="1" t="s">
        <v>2591</v>
      </c>
      <c r="B1283" s="1" t="s">
        <v>2592</v>
      </c>
      <c r="C1283" s="1">
        <v>35</v>
      </c>
      <c r="D1283" s="1" t="s">
        <v>23</v>
      </c>
      <c r="E1283" s="1" t="s">
        <v>55</v>
      </c>
      <c r="F1283" s="1" t="s">
        <v>25</v>
      </c>
      <c r="G1283" s="9">
        <v>976999.46</v>
      </c>
      <c r="H1283" s="1">
        <v>2466697.2599999998</v>
      </c>
      <c r="I1283" s="1">
        <v>649</v>
      </c>
      <c r="J1283" s="1">
        <v>160</v>
      </c>
      <c r="K1283" s="1">
        <v>141767</v>
      </c>
      <c r="L1283" s="1" t="s">
        <v>30</v>
      </c>
      <c r="M1283" s="1" t="s">
        <v>33</v>
      </c>
      <c r="N1283" s="1">
        <v>4.3</v>
      </c>
    </row>
    <row r="1284" spans="1:14" x14ac:dyDescent="0.3">
      <c r="A1284" s="1" t="s">
        <v>2593</v>
      </c>
      <c r="B1284" s="1" t="s">
        <v>2594</v>
      </c>
      <c r="C1284" s="1">
        <v>66</v>
      </c>
      <c r="D1284" s="1" t="s">
        <v>16</v>
      </c>
      <c r="E1284" s="1" t="s">
        <v>45</v>
      </c>
      <c r="F1284" s="1" t="s">
        <v>81</v>
      </c>
      <c r="G1284" s="9">
        <v>1260064.02</v>
      </c>
      <c r="H1284" s="1">
        <v>1473902.76</v>
      </c>
      <c r="I1284" s="1">
        <v>873</v>
      </c>
      <c r="J1284" s="1">
        <v>477</v>
      </c>
      <c r="K1284" s="1">
        <v>248369</v>
      </c>
      <c r="L1284" s="1" t="s">
        <v>19</v>
      </c>
      <c r="M1284" s="1" t="s">
        <v>33</v>
      </c>
      <c r="N1284" s="1">
        <v>3.7</v>
      </c>
    </row>
    <row r="1285" spans="1:14" x14ac:dyDescent="0.3">
      <c r="A1285" s="1" t="s">
        <v>2595</v>
      </c>
      <c r="B1285" s="1" t="s">
        <v>2596</v>
      </c>
      <c r="C1285" s="1">
        <v>39</v>
      </c>
      <c r="D1285" s="1" t="s">
        <v>23</v>
      </c>
      <c r="E1285" s="1" t="s">
        <v>55</v>
      </c>
      <c r="F1285" s="1" t="s">
        <v>39</v>
      </c>
      <c r="G1285" s="9">
        <v>777911.38</v>
      </c>
      <c r="H1285" s="1">
        <v>1578414.68</v>
      </c>
      <c r="I1285" s="1">
        <v>557</v>
      </c>
      <c r="J1285" s="1">
        <v>327</v>
      </c>
      <c r="K1285" s="1">
        <v>159654</v>
      </c>
      <c r="L1285" s="1" t="s">
        <v>26</v>
      </c>
      <c r="M1285" s="1" t="s">
        <v>33</v>
      </c>
      <c r="N1285" s="1">
        <v>2.1</v>
      </c>
    </row>
    <row r="1286" spans="1:14" x14ac:dyDescent="0.3">
      <c r="A1286" s="1" t="s">
        <v>2597</v>
      </c>
      <c r="B1286" s="1" t="s">
        <v>2598</v>
      </c>
      <c r="C1286" s="1">
        <v>33</v>
      </c>
      <c r="D1286" s="1" t="s">
        <v>23</v>
      </c>
      <c r="E1286" s="1" t="s">
        <v>55</v>
      </c>
      <c r="F1286" s="1" t="s">
        <v>81</v>
      </c>
      <c r="G1286" s="9">
        <v>290943.53000000003</v>
      </c>
      <c r="H1286" s="1">
        <v>2430851.71</v>
      </c>
      <c r="I1286" s="1">
        <v>496</v>
      </c>
      <c r="J1286" s="1">
        <v>427</v>
      </c>
      <c r="K1286" s="1">
        <v>168377</v>
      </c>
      <c r="L1286" s="1" t="s">
        <v>30</v>
      </c>
      <c r="M1286" s="1" t="s">
        <v>20</v>
      </c>
      <c r="N1286" s="1">
        <v>2.2999999999999998</v>
      </c>
    </row>
    <row r="1287" spans="1:14" x14ac:dyDescent="0.3">
      <c r="A1287" s="1" t="s">
        <v>2599</v>
      </c>
      <c r="B1287" s="1" t="s">
        <v>2600</v>
      </c>
      <c r="C1287" s="1">
        <v>67</v>
      </c>
      <c r="D1287" s="1" t="s">
        <v>23</v>
      </c>
      <c r="E1287" s="1" t="s">
        <v>48</v>
      </c>
      <c r="F1287" s="1" t="s">
        <v>39</v>
      </c>
      <c r="G1287" s="9">
        <v>1336372.8400000001</v>
      </c>
      <c r="H1287" s="1">
        <v>348194.18</v>
      </c>
      <c r="I1287" s="1">
        <v>602</v>
      </c>
      <c r="J1287" s="1">
        <v>102</v>
      </c>
      <c r="K1287" s="1">
        <v>180708</v>
      </c>
      <c r="L1287" s="1" t="s">
        <v>30</v>
      </c>
      <c r="M1287" s="1" t="s">
        <v>20</v>
      </c>
      <c r="N1287" s="1">
        <v>3.7</v>
      </c>
    </row>
    <row r="1288" spans="1:14" x14ac:dyDescent="0.3">
      <c r="A1288" s="1" t="s">
        <v>2601</v>
      </c>
      <c r="B1288" s="1" t="s">
        <v>2602</v>
      </c>
      <c r="C1288" s="1">
        <v>25</v>
      </c>
      <c r="D1288" s="1" t="s">
        <v>23</v>
      </c>
      <c r="E1288" s="1" t="s">
        <v>38</v>
      </c>
      <c r="F1288" s="1" t="s">
        <v>25</v>
      </c>
      <c r="G1288" s="9">
        <v>1085500.1000000001</v>
      </c>
      <c r="H1288" s="1">
        <v>728652.79</v>
      </c>
      <c r="I1288" s="1">
        <v>552</v>
      </c>
      <c r="J1288" s="1">
        <v>110</v>
      </c>
      <c r="K1288" s="1">
        <v>209947</v>
      </c>
      <c r="L1288" s="1" t="s">
        <v>26</v>
      </c>
      <c r="M1288" s="1" t="s">
        <v>20</v>
      </c>
      <c r="N1288" s="1">
        <v>3.4</v>
      </c>
    </row>
    <row r="1289" spans="1:14" x14ac:dyDescent="0.3">
      <c r="A1289" s="1" t="s">
        <v>2603</v>
      </c>
      <c r="B1289" s="1" t="s">
        <v>2604</v>
      </c>
      <c r="C1289" s="1">
        <v>43</v>
      </c>
      <c r="D1289" s="1" t="s">
        <v>23</v>
      </c>
      <c r="E1289" s="1" t="s">
        <v>29</v>
      </c>
      <c r="F1289" s="1" t="s">
        <v>81</v>
      </c>
      <c r="G1289" s="9">
        <v>1076976.97</v>
      </c>
      <c r="H1289" s="1">
        <v>2331209.79</v>
      </c>
      <c r="I1289" s="1">
        <v>770</v>
      </c>
      <c r="J1289" s="1">
        <v>280</v>
      </c>
      <c r="K1289" s="1">
        <v>146967</v>
      </c>
      <c r="L1289" s="1" t="s">
        <v>19</v>
      </c>
      <c r="M1289" s="1" t="s">
        <v>33</v>
      </c>
      <c r="N1289" s="1">
        <v>2.4</v>
      </c>
    </row>
    <row r="1290" spans="1:14" x14ac:dyDescent="0.3">
      <c r="A1290" s="1" t="s">
        <v>2605</v>
      </c>
      <c r="B1290" s="1" t="s">
        <v>2606</v>
      </c>
      <c r="C1290" s="1">
        <v>70</v>
      </c>
      <c r="D1290" s="1" t="s">
        <v>23</v>
      </c>
      <c r="E1290" s="1" t="s">
        <v>45</v>
      </c>
      <c r="F1290" s="1" t="s">
        <v>81</v>
      </c>
      <c r="G1290" s="9">
        <v>1475882.01</v>
      </c>
      <c r="H1290" s="1">
        <v>8167.68</v>
      </c>
      <c r="I1290" s="1">
        <v>493</v>
      </c>
      <c r="J1290" s="1">
        <v>420</v>
      </c>
      <c r="K1290" s="1">
        <v>164358</v>
      </c>
      <c r="L1290" s="1" t="s">
        <v>30</v>
      </c>
      <c r="M1290" s="1" t="s">
        <v>20</v>
      </c>
      <c r="N1290" s="1">
        <v>4.7</v>
      </c>
    </row>
    <row r="1291" spans="1:14" x14ac:dyDescent="0.3">
      <c r="A1291" s="1" t="s">
        <v>2607</v>
      </c>
      <c r="B1291" s="1" t="s">
        <v>2608</v>
      </c>
      <c r="C1291" s="1">
        <v>35</v>
      </c>
      <c r="D1291" s="1" t="s">
        <v>23</v>
      </c>
      <c r="E1291" s="1" t="s">
        <v>17</v>
      </c>
      <c r="F1291" s="1" t="s">
        <v>81</v>
      </c>
      <c r="G1291" s="9">
        <v>1472458.57</v>
      </c>
      <c r="H1291" s="1">
        <v>1570281.81</v>
      </c>
      <c r="I1291" s="1">
        <v>801</v>
      </c>
      <c r="J1291" s="1">
        <v>309</v>
      </c>
      <c r="K1291" s="1">
        <v>33367</v>
      </c>
      <c r="L1291" s="1" t="s">
        <v>19</v>
      </c>
      <c r="M1291" s="1" t="s">
        <v>20</v>
      </c>
      <c r="N1291" s="1">
        <v>1.4</v>
      </c>
    </row>
    <row r="1292" spans="1:14" x14ac:dyDescent="0.3">
      <c r="A1292" s="1" t="s">
        <v>2609</v>
      </c>
      <c r="B1292" s="1" t="s">
        <v>2610</v>
      </c>
      <c r="C1292" s="1">
        <v>29</v>
      </c>
      <c r="D1292" s="1" t="s">
        <v>23</v>
      </c>
      <c r="E1292" s="1" t="s">
        <v>29</v>
      </c>
      <c r="F1292" s="1" t="s">
        <v>81</v>
      </c>
      <c r="G1292" s="9">
        <v>545195.72</v>
      </c>
      <c r="H1292" s="1">
        <v>2003249.47</v>
      </c>
      <c r="I1292" s="1">
        <v>355</v>
      </c>
      <c r="J1292" s="1">
        <v>26</v>
      </c>
      <c r="K1292" s="1">
        <v>52221</v>
      </c>
      <c r="L1292" s="1" t="s">
        <v>40</v>
      </c>
      <c r="M1292" s="1" t="s">
        <v>20</v>
      </c>
      <c r="N1292" s="1">
        <v>4.4000000000000004</v>
      </c>
    </row>
    <row r="1293" spans="1:14" x14ac:dyDescent="0.3">
      <c r="A1293" s="1" t="s">
        <v>2611</v>
      </c>
      <c r="B1293" s="1" t="s">
        <v>2612</v>
      </c>
      <c r="C1293" s="1">
        <v>65</v>
      </c>
      <c r="D1293" s="1" t="s">
        <v>23</v>
      </c>
      <c r="E1293" s="1" t="s">
        <v>55</v>
      </c>
      <c r="F1293" s="1" t="s">
        <v>81</v>
      </c>
      <c r="G1293" s="9">
        <v>637779.5</v>
      </c>
      <c r="H1293" s="1">
        <v>99843.46</v>
      </c>
      <c r="I1293" s="1">
        <v>880</v>
      </c>
      <c r="J1293" s="1">
        <v>35</v>
      </c>
      <c r="K1293" s="1">
        <v>200020</v>
      </c>
      <c r="L1293" s="1" t="s">
        <v>30</v>
      </c>
      <c r="M1293" s="1" t="s">
        <v>20</v>
      </c>
      <c r="N1293" s="1">
        <v>1</v>
      </c>
    </row>
    <row r="1294" spans="1:14" x14ac:dyDescent="0.3">
      <c r="A1294" s="1" t="s">
        <v>2613</v>
      </c>
      <c r="B1294" s="1" t="s">
        <v>2614</v>
      </c>
      <c r="C1294" s="1">
        <v>32</v>
      </c>
      <c r="D1294" s="1" t="s">
        <v>16</v>
      </c>
      <c r="E1294" s="1" t="s">
        <v>38</v>
      </c>
      <c r="F1294" s="1" t="s">
        <v>18</v>
      </c>
      <c r="G1294" s="9">
        <v>929376.29</v>
      </c>
      <c r="H1294" s="1">
        <v>1426542.75</v>
      </c>
      <c r="I1294" s="1">
        <v>573</v>
      </c>
      <c r="J1294" s="1">
        <v>480</v>
      </c>
      <c r="K1294" s="1">
        <v>77786</v>
      </c>
      <c r="L1294" s="1" t="s">
        <v>26</v>
      </c>
      <c r="M1294" s="1" t="s">
        <v>20</v>
      </c>
      <c r="N1294" s="1">
        <v>3.2</v>
      </c>
    </row>
    <row r="1295" spans="1:14" x14ac:dyDescent="0.3">
      <c r="A1295" s="1" t="s">
        <v>2615</v>
      </c>
      <c r="B1295" s="1" t="s">
        <v>2616</v>
      </c>
      <c r="C1295" s="1">
        <v>28</v>
      </c>
      <c r="D1295" s="1" t="s">
        <v>16</v>
      </c>
      <c r="E1295" s="1" t="s">
        <v>29</v>
      </c>
      <c r="F1295" s="1" t="s">
        <v>81</v>
      </c>
      <c r="G1295" s="9">
        <v>1449767.57</v>
      </c>
      <c r="H1295" s="1">
        <v>958179.98</v>
      </c>
      <c r="I1295" s="1">
        <v>854</v>
      </c>
      <c r="J1295" s="1">
        <v>320</v>
      </c>
      <c r="K1295" s="1">
        <v>231212</v>
      </c>
      <c r="L1295" s="1" t="s">
        <v>30</v>
      </c>
      <c r="M1295" s="1" t="s">
        <v>20</v>
      </c>
      <c r="N1295" s="1">
        <v>1.1000000000000001</v>
      </c>
    </row>
    <row r="1296" spans="1:14" x14ac:dyDescent="0.3">
      <c r="A1296" s="1" t="s">
        <v>2617</v>
      </c>
      <c r="B1296" s="1" t="s">
        <v>2618</v>
      </c>
      <c r="C1296" s="1">
        <v>24</v>
      </c>
      <c r="D1296" s="1" t="s">
        <v>16</v>
      </c>
      <c r="E1296" s="1" t="s">
        <v>24</v>
      </c>
      <c r="F1296" s="1" t="s">
        <v>81</v>
      </c>
      <c r="G1296" s="9">
        <v>1268846.49</v>
      </c>
      <c r="H1296" s="1">
        <v>552433.72</v>
      </c>
      <c r="I1296" s="1">
        <v>770</v>
      </c>
      <c r="J1296" s="1">
        <v>317</v>
      </c>
      <c r="K1296" s="1">
        <v>84538</v>
      </c>
      <c r="L1296" s="1" t="s">
        <v>19</v>
      </c>
      <c r="M1296" s="1" t="s">
        <v>20</v>
      </c>
      <c r="N1296" s="1">
        <v>1.7</v>
      </c>
    </row>
    <row r="1297" spans="1:14" x14ac:dyDescent="0.3">
      <c r="A1297" s="1" t="s">
        <v>2619</v>
      </c>
      <c r="B1297" s="1" t="s">
        <v>2620</v>
      </c>
      <c r="C1297" s="1">
        <v>33</v>
      </c>
      <c r="D1297" s="1" t="s">
        <v>16</v>
      </c>
      <c r="E1297" s="1" t="s">
        <v>29</v>
      </c>
      <c r="F1297" s="1" t="s">
        <v>25</v>
      </c>
      <c r="G1297" s="9">
        <v>466198.88</v>
      </c>
      <c r="H1297" s="1">
        <v>1449093.93</v>
      </c>
      <c r="I1297" s="1">
        <v>695</v>
      </c>
      <c r="J1297" s="1">
        <v>233</v>
      </c>
      <c r="K1297" s="1">
        <v>195940</v>
      </c>
      <c r="L1297" s="1" t="s">
        <v>30</v>
      </c>
      <c r="M1297" s="1" t="s">
        <v>33</v>
      </c>
      <c r="N1297" s="1">
        <v>1.9</v>
      </c>
    </row>
    <row r="1298" spans="1:14" x14ac:dyDescent="0.3">
      <c r="A1298" s="1" t="s">
        <v>2621</v>
      </c>
      <c r="B1298" s="1" t="s">
        <v>2622</v>
      </c>
      <c r="C1298" s="1">
        <v>27</v>
      </c>
      <c r="D1298" s="1" t="s">
        <v>23</v>
      </c>
      <c r="E1298" s="1" t="s">
        <v>24</v>
      </c>
      <c r="F1298" s="1" t="s">
        <v>25</v>
      </c>
      <c r="G1298" s="9">
        <v>1332737.03</v>
      </c>
      <c r="H1298" s="1">
        <v>2126465.9500000002</v>
      </c>
      <c r="I1298" s="1">
        <v>689</v>
      </c>
      <c r="J1298" s="1">
        <v>16</v>
      </c>
      <c r="K1298" s="1">
        <v>213767</v>
      </c>
      <c r="L1298" s="1" t="s">
        <v>30</v>
      </c>
      <c r="M1298" s="1" t="s">
        <v>33</v>
      </c>
      <c r="N1298" s="1">
        <v>3.2</v>
      </c>
    </row>
    <row r="1299" spans="1:14" x14ac:dyDescent="0.3">
      <c r="A1299" s="1" t="s">
        <v>2623</v>
      </c>
      <c r="B1299" s="1" t="s">
        <v>2624</v>
      </c>
      <c r="C1299" s="1">
        <v>38</v>
      </c>
      <c r="D1299" s="1" t="s">
        <v>16</v>
      </c>
      <c r="E1299" s="1" t="s">
        <v>29</v>
      </c>
      <c r="F1299" s="1" t="s">
        <v>25</v>
      </c>
      <c r="G1299" s="9">
        <v>751053.07</v>
      </c>
      <c r="H1299" s="1">
        <v>1539094.59</v>
      </c>
      <c r="I1299" s="1">
        <v>752</v>
      </c>
      <c r="J1299" s="1">
        <v>315</v>
      </c>
      <c r="K1299" s="1">
        <v>25430</v>
      </c>
      <c r="L1299" s="1" t="s">
        <v>40</v>
      </c>
      <c r="M1299" s="1" t="s">
        <v>33</v>
      </c>
      <c r="N1299" s="1">
        <v>1.8</v>
      </c>
    </row>
    <row r="1300" spans="1:14" x14ac:dyDescent="0.3">
      <c r="A1300" s="1" t="s">
        <v>2625</v>
      </c>
      <c r="B1300" s="1" t="s">
        <v>2626</v>
      </c>
      <c r="C1300" s="1">
        <v>31</v>
      </c>
      <c r="D1300" s="1" t="s">
        <v>16</v>
      </c>
      <c r="E1300" s="1" t="s">
        <v>17</v>
      </c>
      <c r="F1300" s="1" t="s">
        <v>25</v>
      </c>
      <c r="G1300" s="9">
        <v>474746.61</v>
      </c>
      <c r="H1300" s="1">
        <v>1012755.71</v>
      </c>
      <c r="I1300" s="1">
        <v>554</v>
      </c>
      <c r="J1300" s="1">
        <v>371</v>
      </c>
      <c r="K1300" s="1">
        <v>77128</v>
      </c>
      <c r="L1300" s="1" t="s">
        <v>19</v>
      </c>
      <c r="M1300" s="1" t="s">
        <v>20</v>
      </c>
      <c r="N1300" s="1">
        <v>2.2000000000000002</v>
      </c>
    </row>
    <row r="1301" spans="1:14" x14ac:dyDescent="0.3">
      <c r="A1301" s="1" t="s">
        <v>2627</v>
      </c>
      <c r="B1301" s="1" t="s">
        <v>2628</v>
      </c>
      <c r="C1301" s="1">
        <v>59</v>
      </c>
      <c r="D1301" s="1" t="s">
        <v>23</v>
      </c>
      <c r="E1301" s="1" t="s">
        <v>17</v>
      </c>
      <c r="F1301" s="1" t="s">
        <v>18</v>
      </c>
      <c r="G1301" s="9">
        <v>101718.96</v>
      </c>
      <c r="H1301" s="1">
        <v>1782674.17</v>
      </c>
      <c r="I1301" s="1">
        <v>322</v>
      </c>
      <c r="J1301" s="1">
        <v>204</v>
      </c>
      <c r="K1301" s="1">
        <v>202866</v>
      </c>
      <c r="L1301" s="1" t="s">
        <v>30</v>
      </c>
      <c r="M1301" s="1" t="s">
        <v>33</v>
      </c>
      <c r="N1301" s="1">
        <v>3.3</v>
      </c>
    </row>
    <row r="1302" spans="1:14" x14ac:dyDescent="0.3">
      <c r="A1302" s="1" t="s">
        <v>2629</v>
      </c>
      <c r="B1302" s="1" t="s">
        <v>2630</v>
      </c>
      <c r="C1302" s="1">
        <v>64</v>
      </c>
      <c r="D1302" s="1" t="s">
        <v>23</v>
      </c>
      <c r="E1302" s="1" t="s">
        <v>55</v>
      </c>
      <c r="F1302" s="1" t="s">
        <v>25</v>
      </c>
      <c r="G1302" s="9">
        <v>1364236.11</v>
      </c>
      <c r="H1302" s="1">
        <v>223652.26</v>
      </c>
      <c r="I1302" s="1">
        <v>561</v>
      </c>
      <c r="J1302" s="1">
        <v>183</v>
      </c>
      <c r="K1302" s="1">
        <v>136739</v>
      </c>
      <c r="L1302" s="1" t="s">
        <v>40</v>
      </c>
      <c r="M1302" s="1" t="s">
        <v>20</v>
      </c>
      <c r="N1302" s="1">
        <v>1.9</v>
      </c>
    </row>
    <row r="1303" spans="1:14" x14ac:dyDescent="0.3">
      <c r="A1303" s="1" t="s">
        <v>2631</v>
      </c>
      <c r="B1303" s="1" t="s">
        <v>2632</v>
      </c>
      <c r="C1303" s="1">
        <v>32</v>
      </c>
      <c r="D1303" s="1" t="s">
        <v>16</v>
      </c>
      <c r="E1303" s="1" t="s">
        <v>17</v>
      </c>
      <c r="F1303" s="1" t="s">
        <v>81</v>
      </c>
      <c r="G1303" s="9">
        <v>880314.4</v>
      </c>
      <c r="H1303" s="1">
        <v>1292924.48</v>
      </c>
      <c r="I1303" s="1">
        <v>843</v>
      </c>
      <c r="J1303" s="1">
        <v>419</v>
      </c>
      <c r="K1303" s="1">
        <v>243778</v>
      </c>
      <c r="L1303" s="1" t="s">
        <v>19</v>
      </c>
      <c r="M1303" s="1" t="s">
        <v>20</v>
      </c>
      <c r="N1303" s="1">
        <v>1.8</v>
      </c>
    </row>
    <row r="1304" spans="1:14" x14ac:dyDescent="0.3">
      <c r="A1304" s="1" t="s">
        <v>2633</v>
      </c>
      <c r="B1304" s="1" t="s">
        <v>2634</v>
      </c>
      <c r="C1304" s="1">
        <v>23</v>
      </c>
      <c r="D1304" s="1" t="s">
        <v>23</v>
      </c>
      <c r="E1304" s="1" t="s">
        <v>45</v>
      </c>
      <c r="F1304" s="1" t="s">
        <v>39</v>
      </c>
      <c r="G1304" s="9">
        <v>1374195.63</v>
      </c>
      <c r="H1304" s="1">
        <v>230941.95</v>
      </c>
      <c r="I1304" s="1">
        <v>866</v>
      </c>
      <c r="J1304" s="1">
        <v>30</v>
      </c>
      <c r="K1304" s="1">
        <v>205363</v>
      </c>
      <c r="L1304" s="1" t="s">
        <v>26</v>
      </c>
      <c r="M1304" s="1" t="s">
        <v>20</v>
      </c>
      <c r="N1304" s="1">
        <v>2</v>
      </c>
    </row>
    <row r="1305" spans="1:14" x14ac:dyDescent="0.3">
      <c r="A1305" s="1" t="s">
        <v>2635</v>
      </c>
      <c r="B1305" s="1" t="s">
        <v>2636</v>
      </c>
      <c r="C1305" s="1">
        <v>45</v>
      </c>
      <c r="D1305" s="1" t="s">
        <v>16</v>
      </c>
      <c r="E1305" s="1" t="s">
        <v>24</v>
      </c>
      <c r="F1305" s="1" t="s">
        <v>18</v>
      </c>
      <c r="G1305" s="9">
        <v>1307158.03</v>
      </c>
      <c r="H1305" s="1">
        <v>465050.18</v>
      </c>
      <c r="I1305" s="1">
        <v>719</v>
      </c>
      <c r="J1305" s="1">
        <v>164</v>
      </c>
      <c r="K1305" s="1">
        <v>93010</v>
      </c>
      <c r="L1305" s="1" t="s">
        <v>19</v>
      </c>
      <c r="M1305" s="1" t="s">
        <v>20</v>
      </c>
      <c r="N1305" s="1">
        <v>1.7</v>
      </c>
    </row>
    <row r="1306" spans="1:14" x14ac:dyDescent="0.3">
      <c r="A1306" s="1" t="s">
        <v>2637</v>
      </c>
      <c r="B1306" s="1" t="s">
        <v>2638</v>
      </c>
      <c r="C1306" s="1">
        <v>36</v>
      </c>
      <c r="D1306" s="1" t="s">
        <v>16</v>
      </c>
      <c r="E1306" s="1" t="s">
        <v>29</v>
      </c>
      <c r="F1306" s="1" t="s">
        <v>18</v>
      </c>
      <c r="G1306" s="9">
        <v>708021.3</v>
      </c>
      <c r="H1306" s="1">
        <v>1058160.03</v>
      </c>
      <c r="I1306" s="1">
        <v>471</v>
      </c>
      <c r="J1306" s="1">
        <v>125</v>
      </c>
      <c r="K1306" s="1">
        <v>163638</v>
      </c>
      <c r="L1306" s="1" t="s">
        <v>19</v>
      </c>
      <c r="M1306" s="1" t="s">
        <v>33</v>
      </c>
      <c r="N1306" s="1">
        <v>1.1000000000000001</v>
      </c>
    </row>
    <row r="1307" spans="1:14" x14ac:dyDescent="0.3">
      <c r="A1307" s="1" t="s">
        <v>2639</v>
      </c>
      <c r="B1307" s="1" t="s">
        <v>2640</v>
      </c>
      <c r="C1307" s="1">
        <v>70</v>
      </c>
      <c r="D1307" s="1" t="s">
        <v>16</v>
      </c>
      <c r="E1307" s="1" t="s">
        <v>38</v>
      </c>
      <c r="F1307" s="1" t="s">
        <v>39</v>
      </c>
      <c r="G1307" s="9">
        <v>272202.23999999999</v>
      </c>
      <c r="H1307" s="1">
        <v>310343.2</v>
      </c>
      <c r="I1307" s="1">
        <v>773</v>
      </c>
      <c r="J1307" s="1">
        <v>288</v>
      </c>
      <c r="K1307" s="1">
        <v>225296</v>
      </c>
      <c r="L1307" s="1" t="s">
        <v>40</v>
      </c>
      <c r="M1307" s="1" t="s">
        <v>20</v>
      </c>
      <c r="N1307" s="1">
        <v>4</v>
      </c>
    </row>
    <row r="1308" spans="1:14" x14ac:dyDescent="0.3">
      <c r="A1308" s="1" t="s">
        <v>2641</v>
      </c>
      <c r="B1308" s="1" t="s">
        <v>2642</v>
      </c>
      <c r="C1308" s="1">
        <v>38</v>
      </c>
      <c r="D1308" s="1" t="s">
        <v>16</v>
      </c>
      <c r="E1308" s="1" t="s">
        <v>17</v>
      </c>
      <c r="F1308" s="1" t="s">
        <v>39</v>
      </c>
      <c r="G1308" s="9">
        <v>261832.85</v>
      </c>
      <c r="H1308" s="1">
        <v>680843.62</v>
      </c>
      <c r="I1308" s="1">
        <v>321</v>
      </c>
      <c r="J1308" s="1">
        <v>261</v>
      </c>
      <c r="K1308" s="1">
        <v>244239</v>
      </c>
      <c r="L1308" s="1" t="s">
        <v>40</v>
      </c>
      <c r="M1308" s="1" t="s">
        <v>20</v>
      </c>
      <c r="N1308" s="1">
        <v>3</v>
      </c>
    </row>
    <row r="1309" spans="1:14" x14ac:dyDescent="0.3">
      <c r="A1309" s="1" t="s">
        <v>2643</v>
      </c>
      <c r="B1309" s="1" t="s">
        <v>2644</v>
      </c>
      <c r="C1309" s="1">
        <v>48</v>
      </c>
      <c r="D1309" s="1" t="s">
        <v>23</v>
      </c>
      <c r="E1309" s="1" t="s">
        <v>24</v>
      </c>
      <c r="F1309" s="1" t="s">
        <v>25</v>
      </c>
      <c r="G1309" s="9">
        <v>1270572.99</v>
      </c>
      <c r="H1309" s="1">
        <v>604813.92000000004</v>
      </c>
      <c r="I1309" s="1">
        <v>676</v>
      </c>
      <c r="J1309" s="1">
        <v>298</v>
      </c>
      <c r="K1309" s="1">
        <v>60870</v>
      </c>
      <c r="L1309" s="1" t="s">
        <v>40</v>
      </c>
      <c r="M1309" s="1" t="s">
        <v>20</v>
      </c>
      <c r="N1309" s="1">
        <v>4.0999999999999996</v>
      </c>
    </row>
    <row r="1310" spans="1:14" x14ac:dyDescent="0.3">
      <c r="A1310" s="1" t="s">
        <v>2645</v>
      </c>
      <c r="B1310" s="1" t="s">
        <v>2646</v>
      </c>
      <c r="C1310" s="1">
        <v>63</v>
      </c>
      <c r="D1310" s="1" t="s">
        <v>16</v>
      </c>
      <c r="E1310" s="1" t="s">
        <v>76</v>
      </c>
      <c r="F1310" s="1" t="s">
        <v>81</v>
      </c>
      <c r="G1310" s="9">
        <v>247319.92</v>
      </c>
      <c r="H1310" s="1">
        <v>1515026.89</v>
      </c>
      <c r="I1310" s="1">
        <v>343</v>
      </c>
      <c r="J1310" s="1">
        <v>39</v>
      </c>
      <c r="K1310" s="1">
        <v>85068</v>
      </c>
      <c r="L1310" s="1" t="s">
        <v>30</v>
      </c>
      <c r="M1310" s="1" t="s">
        <v>33</v>
      </c>
      <c r="N1310" s="1">
        <v>4.9000000000000004</v>
      </c>
    </row>
    <row r="1311" spans="1:14" x14ac:dyDescent="0.3">
      <c r="A1311" s="1" t="s">
        <v>2647</v>
      </c>
      <c r="B1311" s="1" t="s">
        <v>2648</v>
      </c>
      <c r="C1311" s="1">
        <v>61</v>
      </c>
      <c r="D1311" s="1" t="s">
        <v>23</v>
      </c>
      <c r="E1311" s="1" t="s">
        <v>17</v>
      </c>
      <c r="F1311" s="1" t="s">
        <v>81</v>
      </c>
      <c r="G1311" s="9">
        <v>595550.30000000005</v>
      </c>
      <c r="H1311" s="1">
        <v>1353672.38</v>
      </c>
      <c r="I1311" s="1">
        <v>713</v>
      </c>
      <c r="J1311" s="1">
        <v>460</v>
      </c>
      <c r="K1311" s="1">
        <v>217724</v>
      </c>
      <c r="L1311" s="1" t="s">
        <v>30</v>
      </c>
      <c r="M1311" s="1" t="s">
        <v>20</v>
      </c>
      <c r="N1311" s="1">
        <v>3.1</v>
      </c>
    </row>
    <row r="1312" spans="1:14" x14ac:dyDescent="0.3">
      <c r="A1312" s="1" t="s">
        <v>2649</v>
      </c>
      <c r="B1312" s="1" t="s">
        <v>2650</v>
      </c>
      <c r="C1312" s="1">
        <v>50</v>
      </c>
      <c r="D1312" s="1" t="s">
        <v>23</v>
      </c>
      <c r="E1312" s="1" t="s">
        <v>55</v>
      </c>
      <c r="F1312" s="1" t="s">
        <v>18</v>
      </c>
      <c r="G1312" s="9">
        <v>752091.41</v>
      </c>
      <c r="H1312" s="1">
        <v>2012096.81</v>
      </c>
      <c r="I1312" s="1">
        <v>511</v>
      </c>
      <c r="J1312" s="1">
        <v>42</v>
      </c>
      <c r="K1312" s="1">
        <v>244900</v>
      </c>
      <c r="L1312" s="1" t="s">
        <v>30</v>
      </c>
      <c r="M1312" s="1" t="s">
        <v>33</v>
      </c>
      <c r="N1312" s="1">
        <v>3.4</v>
      </c>
    </row>
    <row r="1313" spans="1:14" x14ac:dyDescent="0.3">
      <c r="A1313" s="1" t="s">
        <v>2651</v>
      </c>
      <c r="B1313" s="1" t="s">
        <v>2329</v>
      </c>
      <c r="C1313" s="1">
        <v>42</v>
      </c>
      <c r="D1313" s="1" t="s">
        <v>23</v>
      </c>
      <c r="E1313" s="1" t="s">
        <v>38</v>
      </c>
      <c r="F1313" s="1" t="s">
        <v>25</v>
      </c>
      <c r="G1313" s="9">
        <v>563567.01</v>
      </c>
      <c r="H1313" s="1">
        <v>786362.95</v>
      </c>
      <c r="I1313" s="1">
        <v>503</v>
      </c>
      <c r="J1313" s="1">
        <v>389</v>
      </c>
      <c r="K1313" s="1">
        <v>98516</v>
      </c>
      <c r="L1313" s="1" t="s">
        <v>40</v>
      </c>
      <c r="M1313" s="1" t="s">
        <v>33</v>
      </c>
      <c r="N1313" s="1">
        <v>1.1000000000000001</v>
      </c>
    </row>
    <row r="1314" spans="1:14" x14ac:dyDescent="0.3">
      <c r="A1314" s="1" t="s">
        <v>2652</v>
      </c>
      <c r="B1314" s="1" t="s">
        <v>2653</v>
      </c>
      <c r="C1314" s="1">
        <v>43</v>
      </c>
      <c r="D1314" s="1" t="s">
        <v>23</v>
      </c>
      <c r="E1314" s="1" t="s">
        <v>45</v>
      </c>
      <c r="F1314" s="1" t="s">
        <v>81</v>
      </c>
      <c r="G1314" s="9">
        <v>217761.42</v>
      </c>
      <c r="H1314" s="1">
        <v>2251258.94</v>
      </c>
      <c r="I1314" s="1">
        <v>749</v>
      </c>
      <c r="J1314" s="1">
        <v>134</v>
      </c>
      <c r="K1314" s="1">
        <v>84092</v>
      </c>
      <c r="L1314" s="1" t="s">
        <v>40</v>
      </c>
      <c r="M1314" s="1" t="s">
        <v>33</v>
      </c>
      <c r="N1314" s="1">
        <v>2.9</v>
      </c>
    </row>
    <row r="1315" spans="1:14" x14ac:dyDescent="0.3">
      <c r="A1315" s="1" t="s">
        <v>2654</v>
      </c>
      <c r="B1315" s="1" t="s">
        <v>2655</v>
      </c>
      <c r="C1315" s="1">
        <v>26</v>
      </c>
      <c r="D1315" s="1" t="s">
        <v>16</v>
      </c>
      <c r="E1315" s="1" t="s">
        <v>55</v>
      </c>
      <c r="F1315" s="1" t="s">
        <v>81</v>
      </c>
      <c r="G1315" s="9">
        <v>1439629.45</v>
      </c>
      <c r="H1315" s="1">
        <v>613415.02</v>
      </c>
      <c r="I1315" s="1">
        <v>449</v>
      </c>
      <c r="J1315" s="1">
        <v>464</v>
      </c>
      <c r="K1315" s="1">
        <v>128999</v>
      </c>
      <c r="L1315" s="1" t="s">
        <v>19</v>
      </c>
      <c r="M1315" s="1" t="s">
        <v>33</v>
      </c>
      <c r="N1315" s="1">
        <v>3.6</v>
      </c>
    </row>
    <row r="1316" spans="1:14" x14ac:dyDescent="0.3">
      <c r="A1316" s="1" t="s">
        <v>2656</v>
      </c>
      <c r="B1316" s="1" t="s">
        <v>2657</v>
      </c>
      <c r="C1316" s="1">
        <v>47</v>
      </c>
      <c r="D1316" s="1" t="s">
        <v>23</v>
      </c>
      <c r="E1316" s="1" t="s">
        <v>76</v>
      </c>
      <c r="F1316" s="1" t="s">
        <v>25</v>
      </c>
      <c r="G1316" s="9">
        <v>1331134.56</v>
      </c>
      <c r="H1316" s="1">
        <v>2180282.2000000002</v>
      </c>
      <c r="I1316" s="1">
        <v>379</v>
      </c>
      <c r="J1316" s="1">
        <v>311</v>
      </c>
      <c r="K1316" s="1">
        <v>121333</v>
      </c>
      <c r="L1316" s="1" t="s">
        <v>19</v>
      </c>
      <c r="M1316" s="1" t="s">
        <v>33</v>
      </c>
      <c r="N1316" s="1">
        <v>2.2000000000000002</v>
      </c>
    </row>
    <row r="1317" spans="1:14" x14ac:dyDescent="0.3">
      <c r="A1317" s="1" t="s">
        <v>2658</v>
      </c>
      <c r="B1317" s="1" t="s">
        <v>2659</v>
      </c>
      <c r="C1317" s="1">
        <v>39</v>
      </c>
      <c r="D1317" s="1" t="s">
        <v>23</v>
      </c>
      <c r="E1317" s="1" t="s">
        <v>76</v>
      </c>
      <c r="F1317" s="1" t="s">
        <v>18</v>
      </c>
      <c r="G1317" s="9">
        <v>468960.95</v>
      </c>
      <c r="H1317" s="1">
        <v>1266793.8899999999</v>
      </c>
      <c r="I1317" s="1">
        <v>311</v>
      </c>
      <c r="J1317" s="1">
        <v>56</v>
      </c>
      <c r="K1317" s="1">
        <v>70719</v>
      </c>
      <c r="L1317" s="1" t="s">
        <v>40</v>
      </c>
      <c r="M1317" s="1" t="s">
        <v>33</v>
      </c>
      <c r="N1317" s="1">
        <v>1.6</v>
      </c>
    </row>
    <row r="1318" spans="1:14" x14ac:dyDescent="0.3">
      <c r="A1318" s="1" t="s">
        <v>2660</v>
      </c>
      <c r="B1318" s="1" t="s">
        <v>2661</v>
      </c>
      <c r="C1318" s="1">
        <v>19</v>
      </c>
      <c r="D1318" s="1" t="s">
        <v>23</v>
      </c>
      <c r="E1318" s="1" t="s">
        <v>48</v>
      </c>
      <c r="F1318" s="1" t="s">
        <v>18</v>
      </c>
      <c r="G1318" s="9">
        <v>608101.02</v>
      </c>
      <c r="H1318" s="1">
        <v>1996277.94</v>
      </c>
      <c r="I1318" s="1">
        <v>771</v>
      </c>
      <c r="J1318" s="1">
        <v>182</v>
      </c>
      <c r="K1318" s="1">
        <v>137534</v>
      </c>
      <c r="L1318" s="1" t="s">
        <v>19</v>
      </c>
      <c r="M1318" s="1" t="s">
        <v>33</v>
      </c>
      <c r="N1318" s="1">
        <v>3.5</v>
      </c>
    </row>
    <row r="1319" spans="1:14" x14ac:dyDescent="0.3">
      <c r="A1319" s="1" t="s">
        <v>2662</v>
      </c>
      <c r="B1319" s="1" t="s">
        <v>2663</v>
      </c>
      <c r="C1319" s="1">
        <v>66</v>
      </c>
      <c r="D1319" s="1" t="s">
        <v>16</v>
      </c>
      <c r="E1319" s="1" t="s">
        <v>38</v>
      </c>
      <c r="F1319" s="1" t="s">
        <v>25</v>
      </c>
      <c r="G1319" s="9">
        <v>652945.22</v>
      </c>
      <c r="H1319" s="1">
        <v>1284929.1000000001</v>
      </c>
      <c r="I1319" s="1">
        <v>861</v>
      </c>
      <c r="J1319" s="1">
        <v>378</v>
      </c>
      <c r="K1319" s="1">
        <v>147799</v>
      </c>
      <c r="L1319" s="1" t="s">
        <v>26</v>
      </c>
      <c r="M1319" s="1" t="s">
        <v>33</v>
      </c>
      <c r="N1319" s="1">
        <v>4</v>
      </c>
    </row>
    <row r="1320" spans="1:14" x14ac:dyDescent="0.3">
      <c r="A1320" s="1" t="s">
        <v>2664</v>
      </c>
      <c r="B1320" s="1" t="s">
        <v>2665</v>
      </c>
      <c r="C1320" s="1">
        <v>64</v>
      </c>
      <c r="D1320" s="1" t="s">
        <v>23</v>
      </c>
      <c r="E1320" s="1" t="s">
        <v>17</v>
      </c>
      <c r="F1320" s="1" t="s">
        <v>39</v>
      </c>
      <c r="G1320" s="9">
        <v>954631.01</v>
      </c>
      <c r="H1320" s="1">
        <v>359878.69</v>
      </c>
      <c r="I1320" s="1">
        <v>501</v>
      </c>
      <c r="J1320" s="1">
        <v>52</v>
      </c>
      <c r="K1320" s="1">
        <v>209410</v>
      </c>
      <c r="L1320" s="1" t="s">
        <v>19</v>
      </c>
      <c r="M1320" s="1" t="s">
        <v>20</v>
      </c>
      <c r="N1320" s="1">
        <v>3.5</v>
      </c>
    </row>
    <row r="1321" spans="1:14" x14ac:dyDescent="0.3">
      <c r="A1321" s="1" t="s">
        <v>2666</v>
      </c>
      <c r="B1321" s="1" t="s">
        <v>2667</v>
      </c>
      <c r="C1321" s="1">
        <v>37</v>
      </c>
      <c r="D1321" s="1" t="s">
        <v>16</v>
      </c>
      <c r="E1321" s="1" t="s">
        <v>17</v>
      </c>
      <c r="F1321" s="1" t="s">
        <v>81</v>
      </c>
      <c r="G1321" s="9">
        <v>1430571.69</v>
      </c>
      <c r="H1321" s="1">
        <v>486233.61</v>
      </c>
      <c r="I1321" s="1">
        <v>882</v>
      </c>
      <c r="J1321" s="1">
        <v>104</v>
      </c>
      <c r="K1321" s="1">
        <v>23175</v>
      </c>
      <c r="L1321" s="1" t="s">
        <v>40</v>
      </c>
      <c r="M1321" s="1" t="s">
        <v>20</v>
      </c>
      <c r="N1321" s="1">
        <v>2.7</v>
      </c>
    </row>
    <row r="1322" spans="1:14" x14ac:dyDescent="0.3">
      <c r="A1322" s="1" t="s">
        <v>2668</v>
      </c>
      <c r="B1322" s="1" t="s">
        <v>2669</v>
      </c>
      <c r="C1322" s="1">
        <v>22</v>
      </c>
      <c r="D1322" s="1" t="s">
        <v>23</v>
      </c>
      <c r="E1322" s="1" t="s">
        <v>38</v>
      </c>
      <c r="F1322" s="1" t="s">
        <v>25</v>
      </c>
      <c r="G1322" s="9">
        <v>1288966.77</v>
      </c>
      <c r="H1322" s="1">
        <v>663769.22</v>
      </c>
      <c r="I1322" s="1">
        <v>794</v>
      </c>
      <c r="J1322" s="1">
        <v>407</v>
      </c>
      <c r="K1322" s="1">
        <v>62832</v>
      </c>
      <c r="L1322" s="1" t="s">
        <v>19</v>
      </c>
      <c r="M1322" s="1" t="s">
        <v>20</v>
      </c>
      <c r="N1322" s="1">
        <v>1.3</v>
      </c>
    </row>
    <row r="1323" spans="1:14" x14ac:dyDescent="0.3">
      <c r="A1323" s="1" t="s">
        <v>2670</v>
      </c>
      <c r="B1323" s="1" t="s">
        <v>2671</v>
      </c>
      <c r="C1323" s="1">
        <v>60</v>
      </c>
      <c r="D1323" s="1" t="s">
        <v>23</v>
      </c>
      <c r="E1323" s="1" t="s">
        <v>48</v>
      </c>
      <c r="F1323" s="1" t="s">
        <v>81</v>
      </c>
      <c r="G1323" s="9">
        <v>1218476.22</v>
      </c>
      <c r="H1323" s="1">
        <v>856842.84</v>
      </c>
      <c r="I1323" s="1">
        <v>681</v>
      </c>
      <c r="J1323" s="1">
        <v>440</v>
      </c>
      <c r="K1323" s="1">
        <v>140483</v>
      </c>
      <c r="L1323" s="1" t="s">
        <v>40</v>
      </c>
      <c r="M1323" s="1" t="s">
        <v>33</v>
      </c>
      <c r="N1323" s="1">
        <v>2.9</v>
      </c>
    </row>
    <row r="1324" spans="1:14" x14ac:dyDescent="0.3">
      <c r="A1324" s="1" t="s">
        <v>2672</v>
      </c>
      <c r="B1324" s="1" t="s">
        <v>2673</v>
      </c>
      <c r="C1324" s="1">
        <v>69</v>
      </c>
      <c r="D1324" s="1" t="s">
        <v>23</v>
      </c>
      <c r="E1324" s="1" t="s">
        <v>55</v>
      </c>
      <c r="F1324" s="1" t="s">
        <v>25</v>
      </c>
      <c r="G1324" s="9">
        <v>1168552.69</v>
      </c>
      <c r="H1324" s="1">
        <v>613241.35</v>
      </c>
      <c r="I1324" s="1">
        <v>322</v>
      </c>
      <c r="J1324" s="1">
        <v>227</v>
      </c>
      <c r="K1324" s="1">
        <v>175674</v>
      </c>
      <c r="L1324" s="1" t="s">
        <v>30</v>
      </c>
      <c r="M1324" s="1" t="s">
        <v>20</v>
      </c>
      <c r="N1324" s="1">
        <v>2.9</v>
      </c>
    </row>
    <row r="1325" spans="1:14" x14ac:dyDescent="0.3">
      <c r="A1325" s="1" t="s">
        <v>2674</v>
      </c>
      <c r="B1325" s="1" t="s">
        <v>2675</v>
      </c>
      <c r="C1325" s="1">
        <v>55</v>
      </c>
      <c r="D1325" s="1" t="s">
        <v>16</v>
      </c>
      <c r="E1325" s="1" t="s">
        <v>24</v>
      </c>
      <c r="F1325" s="1" t="s">
        <v>25</v>
      </c>
      <c r="G1325" s="9">
        <v>1203502.33</v>
      </c>
      <c r="H1325" s="1">
        <v>644105.68999999994</v>
      </c>
      <c r="I1325" s="1">
        <v>451</v>
      </c>
      <c r="J1325" s="1">
        <v>289</v>
      </c>
      <c r="K1325" s="1">
        <v>98732</v>
      </c>
      <c r="L1325" s="1" t="s">
        <v>40</v>
      </c>
      <c r="M1325" s="1" t="s">
        <v>20</v>
      </c>
      <c r="N1325" s="1">
        <v>1.9</v>
      </c>
    </row>
    <row r="1326" spans="1:14" x14ac:dyDescent="0.3">
      <c r="A1326" s="1" t="s">
        <v>2676</v>
      </c>
      <c r="B1326" s="1" t="s">
        <v>2677</v>
      </c>
      <c r="C1326" s="1">
        <v>62</v>
      </c>
      <c r="D1326" s="1" t="s">
        <v>23</v>
      </c>
      <c r="E1326" s="1" t="s">
        <v>29</v>
      </c>
      <c r="F1326" s="1" t="s">
        <v>39</v>
      </c>
      <c r="G1326" s="9">
        <v>761236.27</v>
      </c>
      <c r="H1326" s="1">
        <v>1031612.56</v>
      </c>
      <c r="I1326" s="1">
        <v>709</v>
      </c>
      <c r="J1326" s="1">
        <v>219</v>
      </c>
      <c r="K1326" s="1">
        <v>162136</v>
      </c>
      <c r="L1326" s="1" t="s">
        <v>40</v>
      </c>
      <c r="M1326" s="1" t="s">
        <v>33</v>
      </c>
      <c r="N1326" s="1">
        <v>3.3</v>
      </c>
    </row>
    <row r="1327" spans="1:14" x14ac:dyDescent="0.3">
      <c r="A1327" s="1" t="s">
        <v>2678</v>
      </c>
      <c r="B1327" s="1" t="s">
        <v>2679</v>
      </c>
      <c r="C1327" s="1">
        <v>60</v>
      </c>
      <c r="D1327" s="1" t="s">
        <v>23</v>
      </c>
      <c r="E1327" s="1" t="s">
        <v>38</v>
      </c>
      <c r="F1327" s="1" t="s">
        <v>25</v>
      </c>
      <c r="G1327" s="9">
        <v>1163574.23</v>
      </c>
      <c r="H1327" s="1">
        <v>2315311.2599999998</v>
      </c>
      <c r="I1327" s="1">
        <v>358</v>
      </c>
      <c r="J1327" s="1">
        <v>228</v>
      </c>
      <c r="K1327" s="1">
        <v>37385</v>
      </c>
      <c r="L1327" s="1" t="s">
        <v>30</v>
      </c>
      <c r="M1327" s="1" t="s">
        <v>20</v>
      </c>
      <c r="N1327" s="1">
        <v>2.6</v>
      </c>
    </row>
    <row r="1328" spans="1:14" x14ac:dyDescent="0.3">
      <c r="A1328" s="1" t="s">
        <v>2680</v>
      </c>
      <c r="B1328" s="1" t="s">
        <v>2681</v>
      </c>
      <c r="C1328" s="1">
        <v>39</v>
      </c>
      <c r="D1328" s="1" t="s">
        <v>16</v>
      </c>
      <c r="E1328" s="1" t="s">
        <v>17</v>
      </c>
      <c r="F1328" s="1" t="s">
        <v>25</v>
      </c>
      <c r="G1328" s="9">
        <v>181748.47</v>
      </c>
      <c r="H1328" s="1">
        <v>589205.80000000005</v>
      </c>
      <c r="I1328" s="1">
        <v>803</v>
      </c>
      <c r="J1328" s="1">
        <v>480</v>
      </c>
      <c r="K1328" s="1">
        <v>117092</v>
      </c>
      <c r="L1328" s="1" t="s">
        <v>40</v>
      </c>
      <c r="M1328" s="1" t="s">
        <v>33</v>
      </c>
      <c r="N1328" s="1">
        <v>4.8</v>
      </c>
    </row>
    <row r="1329" spans="1:14" x14ac:dyDescent="0.3">
      <c r="A1329" s="1" t="s">
        <v>2682</v>
      </c>
      <c r="B1329" s="1" t="s">
        <v>2683</v>
      </c>
      <c r="C1329" s="1">
        <v>33</v>
      </c>
      <c r="D1329" s="1" t="s">
        <v>16</v>
      </c>
      <c r="E1329" s="1" t="s">
        <v>29</v>
      </c>
      <c r="F1329" s="1" t="s">
        <v>18</v>
      </c>
      <c r="G1329" s="9">
        <v>1207771.6200000001</v>
      </c>
      <c r="H1329" s="1">
        <v>840278.21</v>
      </c>
      <c r="I1329" s="1">
        <v>634</v>
      </c>
      <c r="J1329" s="1">
        <v>308</v>
      </c>
      <c r="K1329" s="1">
        <v>180057</v>
      </c>
      <c r="L1329" s="1" t="s">
        <v>19</v>
      </c>
      <c r="M1329" s="1" t="s">
        <v>20</v>
      </c>
      <c r="N1329" s="1">
        <v>2.5</v>
      </c>
    </row>
    <row r="1330" spans="1:14" x14ac:dyDescent="0.3">
      <c r="A1330" s="1" t="s">
        <v>2684</v>
      </c>
      <c r="B1330" s="1" t="s">
        <v>2685</v>
      </c>
      <c r="C1330" s="1">
        <v>27</v>
      </c>
      <c r="D1330" s="1" t="s">
        <v>16</v>
      </c>
      <c r="E1330" s="1" t="s">
        <v>76</v>
      </c>
      <c r="F1330" s="1" t="s">
        <v>39</v>
      </c>
      <c r="G1330" s="9">
        <v>645671.21</v>
      </c>
      <c r="H1330" s="1">
        <v>2241453.27</v>
      </c>
      <c r="I1330" s="1">
        <v>455</v>
      </c>
      <c r="J1330" s="1">
        <v>31</v>
      </c>
      <c r="K1330" s="1">
        <v>161654</v>
      </c>
      <c r="L1330" s="1" t="s">
        <v>26</v>
      </c>
      <c r="M1330" s="1" t="s">
        <v>33</v>
      </c>
      <c r="N1330" s="1">
        <v>1</v>
      </c>
    </row>
    <row r="1331" spans="1:14" x14ac:dyDescent="0.3">
      <c r="A1331" s="1" t="s">
        <v>2686</v>
      </c>
      <c r="B1331" s="1" t="s">
        <v>2687</v>
      </c>
      <c r="C1331" s="1">
        <v>61</v>
      </c>
      <c r="D1331" s="1" t="s">
        <v>23</v>
      </c>
      <c r="E1331" s="1" t="s">
        <v>48</v>
      </c>
      <c r="F1331" s="1" t="s">
        <v>18</v>
      </c>
      <c r="G1331" s="9">
        <v>1377534.94</v>
      </c>
      <c r="H1331" s="1">
        <v>1749960.95</v>
      </c>
      <c r="I1331" s="1">
        <v>885</v>
      </c>
      <c r="J1331" s="1">
        <v>49</v>
      </c>
      <c r="K1331" s="1">
        <v>199742</v>
      </c>
      <c r="L1331" s="1" t="s">
        <v>19</v>
      </c>
      <c r="M1331" s="1" t="s">
        <v>20</v>
      </c>
      <c r="N1331" s="1">
        <v>1.2</v>
      </c>
    </row>
    <row r="1332" spans="1:14" x14ac:dyDescent="0.3">
      <c r="A1332" s="1" t="s">
        <v>2688</v>
      </c>
      <c r="B1332" s="1" t="s">
        <v>2689</v>
      </c>
      <c r="C1332" s="1">
        <v>20</v>
      </c>
      <c r="D1332" s="1" t="s">
        <v>23</v>
      </c>
      <c r="E1332" s="1" t="s">
        <v>29</v>
      </c>
      <c r="F1332" s="1" t="s">
        <v>81</v>
      </c>
      <c r="G1332" s="9">
        <v>5318.61</v>
      </c>
      <c r="H1332" s="1">
        <v>2306377.7999999998</v>
      </c>
      <c r="I1332" s="1">
        <v>474</v>
      </c>
      <c r="J1332" s="1">
        <v>464</v>
      </c>
      <c r="K1332" s="1">
        <v>181051</v>
      </c>
      <c r="L1332" s="1" t="s">
        <v>26</v>
      </c>
      <c r="M1332" s="1" t="s">
        <v>20</v>
      </c>
      <c r="N1332" s="1">
        <v>2.6</v>
      </c>
    </row>
    <row r="1333" spans="1:14" x14ac:dyDescent="0.3">
      <c r="A1333" s="1" t="s">
        <v>2690</v>
      </c>
      <c r="B1333" s="1" t="s">
        <v>2691</v>
      </c>
      <c r="C1333" s="1">
        <v>57</v>
      </c>
      <c r="D1333" s="1" t="s">
        <v>16</v>
      </c>
      <c r="E1333" s="1" t="s">
        <v>45</v>
      </c>
      <c r="F1333" s="1" t="s">
        <v>39</v>
      </c>
      <c r="G1333" s="9">
        <v>212230.93</v>
      </c>
      <c r="H1333" s="1">
        <v>1155841.42</v>
      </c>
      <c r="I1333" s="1">
        <v>566</v>
      </c>
      <c r="J1333" s="1">
        <v>85</v>
      </c>
      <c r="K1333" s="1">
        <v>94565</v>
      </c>
      <c r="L1333" s="1" t="s">
        <v>26</v>
      </c>
      <c r="M1333" s="1" t="s">
        <v>20</v>
      </c>
      <c r="N1333" s="1">
        <v>3.6</v>
      </c>
    </row>
    <row r="1334" spans="1:14" x14ac:dyDescent="0.3">
      <c r="A1334" s="1" t="s">
        <v>2692</v>
      </c>
      <c r="B1334" s="1" t="s">
        <v>2693</v>
      </c>
      <c r="C1334" s="1">
        <v>43</v>
      </c>
      <c r="D1334" s="1" t="s">
        <v>23</v>
      </c>
      <c r="E1334" s="1" t="s">
        <v>55</v>
      </c>
      <c r="F1334" s="1" t="s">
        <v>25</v>
      </c>
      <c r="G1334" s="9">
        <v>511293.12</v>
      </c>
      <c r="H1334" s="1">
        <v>407016.29</v>
      </c>
      <c r="I1334" s="1">
        <v>784</v>
      </c>
      <c r="J1334" s="1">
        <v>419</v>
      </c>
      <c r="K1334" s="1">
        <v>243387</v>
      </c>
      <c r="L1334" s="1" t="s">
        <v>30</v>
      </c>
      <c r="M1334" s="1" t="s">
        <v>20</v>
      </c>
      <c r="N1334" s="1">
        <v>2.8</v>
      </c>
    </row>
    <row r="1335" spans="1:14" x14ac:dyDescent="0.3">
      <c r="A1335" s="1" t="s">
        <v>2694</v>
      </c>
      <c r="B1335" s="1" t="s">
        <v>2695</v>
      </c>
      <c r="C1335" s="1">
        <v>68</v>
      </c>
      <c r="D1335" s="1" t="s">
        <v>16</v>
      </c>
      <c r="E1335" s="1" t="s">
        <v>76</v>
      </c>
      <c r="F1335" s="1" t="s">
        <v>18</v>
      </c>
      <c r="G1335" s="9">
        <v>467442.51</v>
      </c>
      <c r="H1335" s="1">
        <v>816524.13</v>
      </c>
      <c r="I1335" s="1">
        <v>546</v>
      </c>
      <c r="J1335" s="1">
        <v>241</v>
      </c>
      <c r="K1335" s="1">
        <v>242068</v>
      </c>
      <c r="L1335" s="1" t="s">
        <v>19</v>
      </c>
      <c r="M1335" s="1" t="s">
        <v>20</v>
      </c>
      <c r="N1335" s="1">
        <v>1.6</v>
      </c>
    </row>
    <row r="1336" spans="1:14" x14ac:dyDescent="0.3">
      <c r="A1336" s="1" t="s">
        <v>2696</v>
      </c>
      <c r="B1336" s="1" t="s">
        <v>2697</v>
      </c>
      <c r="C1336" s="1">
        <v>27</v>
      </c>
      <c r="D1336" s="1" t="s">
        <v>23</v>
      </c>
      <c r="E1336" s="1" t="s">
        <v>24</v>
      </c>
      <c r="F1336" s="1" t="s">
        <v>25</v>
      </c>
      <c r="G1336" s="9">
        <v>1497347.45</v>
      </c>
      <c r="H1336" s="1">
        <v>315274.36</v>
      </c>
      <c r="I1336" s="1">
        <v>375</v>
      </c>
      <c r="J1336" s="1">
        <v>149</v>
      </c>
      <c r="K1336" s="1">
        <v>48226</v>
      </c>
      <c r="L1336" s="1" t="s">
        <v>30</v>
      </c>
      <c r="M1336" s="1" t="s">
        <v>33</v>
      </c>
      <c r="N1336" s="1">
        <v>4.0999999999999996</v>
      </c>
    </row>
    <row r="1337" spans="1:14" x14ac:dyDescent="0.3">
      <c r="A1337" s="1" t="s">
        <v>2698</v>
      </c>
      <c r="B1337" s="1" t="s">
        <v>2699</v>
      </c>
      <c r="C1337" s="1">
        <v>25</v>
      </c>
      <c r="D1337" s="1" t="s">
        <v>23</v>
      </c>
      <c r="E1337" s="1" t="s">
        <v>76</v>
      </c>
      <c r="F1337" s="1" t="s">
        <v>81</v>
      </c>
      <c r="G1337" s="9">
        <v>1004062.67</v>
      </c>
      <c r="H1337" s="1">
        <v>1679101.73</v>
      </c>
      <c r="I1337" s="1">
        <v>609</v>
      </c>
      <c r="J1337" s="1">
        <v>484</v>
      </c>
      <c r="K1337" s="1">
        <v>188902</v>
      </c>
      <c r="L1337" s="1" t="s">
        <v>40</v>
      </c>
      <c r="M1337" s="1" t="s">
        <v>33</v>
      </c>
      <c r="N1337" s="1">
        <v>3.8</v>
      </c>
    </row>
    <row r="1338" spans="1:14" x14ac:dyDescent="0.3">
      <c r="A1338" s="1" t="s">
        <v>2700</v>
      </c>
      <c r="B1338" s="1" t="s">
        <v>2701</v>
      </c>
      <c r="C1338" s="1">
        <v>30</v>
      </c>
      <c r="D1338" s="1" t="s">
        <v>23</v>
      </c>
      <c r="E1338" s="1" t="s">
        <v>45</v>
      </c>
      <c r="F1338" s="1" t="s">
        <v>25</v>
      </c>
      <c r="G1338" s="9">
        <v>103752.75</v>
      </c>
      <c r="H1338" s="1">
        <v>78448.78</v>
      </c>
      <c r="I1338" s="1">
        <v>558</v>
      </c>
      <c r="J1338" s="1">
        <v>204</v>
      </c>
      <c r="K1338" s="1">
        <v>110462</v>
      </c>
      <c r="L1338" s="1" t="s">
        <v>26</v>
      </c>
      <c r="M1338" s="1" t="s">
        <v>33</v>
      </c>
      <c r="N1338" s="1">
        <v>1.7</v>
      </c>
    </row>
    <row r="1339" spans="1:14" x14ac:dyDescent="0.3">
      <c r="A1339" s="1" t="s">
        <v>2702</v>
      </c>
      <c r="B1339" s="1" t="s">
        <v>2703</v>
      </c>
      <c r="C1339" s="1">
        <v>26</v>
      </c>
      <c r="D1339" s="1" t="s">
        <v>16</v>
      </c>
      <c r="E1339" s="1" t="s">
        <v>76</v>
      </c>
      <c r="F1339" s="1" t="s">
        <v>39</v>
      </c>
      <c r="G1339" s="9">
        <v>493727.74</v>
      </c>
      <c r="H1339" s="1">
        <v>2416742.79</v>
      </c>
      <c r="I1339" s="1">
        <v>732</v>
      </c>
      <c r="J1339" s="1">
        <v>342</v>
      </c>
      <c r="K1339" s="1">
        <v>233852</v>
      </c>
      <c r="L1339" s="1" t="s">
        <v>26</v>
      </c>
      <c r="M1339" s="1" t="s">
        <v>33</v>
      </c>
      <c r="N1339" s="1">
        <v>2.2999999999999998</v>
      </c>
    </row>
    <row r="1340" spans="1:14" x14ac:dyDescent="0.3">
      <c r="A1340" s="1" t="s">
        <v>2704</v>
      </c>
      <c r="B1340" s="1" t="s">
        <v>249</v>
      </c>
      <c r="C1340" s="1">
        <v>23</v>
      </c>
      <c r="D1340" s="1" t="s">
        <v>23</v>
      </c>
      <c r="E1340" s="1" t="s">
        <v>55</v>
      </c>
      <c r="F1340" s="1" t="s">
        <v>39</v>
      </c>
      <c r="G1340" s="9">
        <v>1313903.83</v>
      </c>
      <c r="H1340" s="1">
        <v>836390.67</v>
      </c>
      <c r="I1340" s="1">
        <v>343</v>
      </c>
      <c r="J1340" s="1">
        <v>457</v>
      </c>
      <c r="K1340" s="1">
        <v>147636</v>
      </c>
      <c r="L1340" s="1" t="s">
        <v>40</v>
      </c>
      <c r="M1340" s="1" t="s">
        <v>33</v>
      </c>
      <c r="N1340" s="1">
        <v>1.6</v>
      </c>
    </row>
    <row r="1341" spans="1:14" x14ac:dyDescent="0.3">
      <c r="A1341" s="1" t="s">
        <v>2705</v>
      </c>
      <c r="B1341" s="1" t="s">
        <v>2706</v>
      </c>
      <c r="C1341" s="1">
        <v>20</v>
      </c>
      <c r="D1341" s="1" t="s">
        <v>23</v>
      </c>
      <c r="E1341" s="1" t="s">
        <v>76</v>
      </c>
      <c r="F1341" s="1" t="s">
        <v>18</v>
      </c>
      <c r="G1341" s="9">
        <v>18791.59</v>
      </c>
      <c r="H1341" s="1">
        <v>901818.83</v>
      </c>
      <c r="I1341" s="1">
        <v>651</v>
      </c>
      <c r="J1341" s="1">
        <v>414</v>
      </c>
      <c r="K1341" s="1">
        <v>222076</v>
      </c>
      <c r="L1341" s="1" t="s">
        <v>30</v>
      </c>
      <c r="M1341" s="1" t="s">
        <v>20</v>
      </c>
      <c r="N1341" s="1">
        <v>3.5</v>
      </c>
    </row>
    <row r="1342" spans="1:14" x14ac:dyDescent="0.3">
      <c r="A1342" s="1" t="s">
        <v>2707</v>
      </c>
      <c r="B1342" s="1" t="s">
        <v>2708</v>
      </c>
      <c r="C1342" s="1">
        <v>31</v>
      </c>
      <c r="D1342" s="1" t="s">
        <v>16</v>
      </c>
      <c r="E1342" s="1" t="s">
        <v>17</v>
      </c>
      <c r="F1342" s="1" t="s">
        <v>18</v>
      </c>
      <c r="G1342" s="9">
        <v>502114.29</v>
      </c>
      <c r="H1342" s="1">
        <v>1646664.1</v>
      </c>
      <c r="I1342" s="1">
        <v>817</v>
      </c>
      <c r="J1342" s="1">
        <v>145</v>
      </c>
      <c r="K1342" s="1">
        <v>58746</v>
      </c>
      <c r="L1342" s="1" t="s">
        <v>30</v>
      </c>
      <c r="M1342" s="1" t="s">
        <v>33</v>
      </c>
      <c r="N1342" s="1">
        <v>3.1</v>
      </c>
    </row>
    <row r="1343" spans="1:14" x14ac:dyDescent="0.3">
      <c r="A1343" s="1" t="s">
        <v>2709</v>
      </c>
      <c r="B1343" s="1" t="s">
        <v>2710</v>
      </c>
      <c r="C1343" s="1">
        <v>52</v>
      </c>
      <c r="D1343" s="1" t="s">
        <v>16</v>
      </c>
      <c r="E1343" s="1" t="s">
        <v>45</v>
      </c>
      <c r="F1343" s="1" t="s">
        <v>25</v>
      </c>
      <c r="G1343" s="9">
        <v>687372.37</v>
      </c>
      <c r="H1343" s="1">
        <v>711214.18</v>
      </c>
      <c r="I1343" s="1">
        <v>318</v>
      </c>
      <c r="J1343" s="1">
        <v>213</v>
      </c>
      <c r="K1343" s="1">
        <v>218121</v>
      </c>
      <c r="L1343" s="1" t="s">
        <v>30</v>
      </c>
      <c r="M1343" s="1" t="s">
        <v>20</v>
      </c>
      <c r="N1343" s="1">
        <v>3.4</v>
      </c>
    </row>
    <row r="1344" spans="1:14" x14ac:dyDescent="0.3">
      <c r="A1344" s="1" t="s">
        <v>2711</v>
      </c>
      <c r="B1344" s="1" t="s">
        <v>2712</v>
      </c>
      <c r="C1344" s="1">
        <v>38</v>
      </c>
      <c r="D1344" s="1" t="s">
        <v>16</v>
      </c>
      <c r="E1344" s="1" t="s">
        <v>24</v>
      </c>
      <c r="F1344" s="1" t="s">
        <v>81</v>
      </c>
      <c r="G1344" s="9">
        <v>888386.03</v>
      </c>
      <c r="H1344" s="1">
        <v>1123178.3500000001</v>
      </c>
      <c r="I1344" s="1">
        <v>607</v>
      </c>
      <c r="J1344" s="1">
        <v>461</v>
      </c>
      <c r="K1344" s="1">
        <v>238838</v>
      </c>
      <c r="L1344" s="1" t="s">
        <v>30</v>
      </c>
      <c r="M1344" s="1" t="s">
        <v>33</v>
      </c>
      <c r="N1344" s="1">
        <v>3.6</v>
      </c>
    </row>
    <row r="1345" spans="1:14" x14ac:dyDescent="0.3">
      <c r="A1345" s="1" t="s">
        <v>2713</v>
      </c>
      <c r="B1345" s="1" t="s">
        <v>2714</v>
      </c>
      <c r="C1345" s="1">
        <v>18</v>
      </c>
      <c r="D1345" s="1" t="s">
        <v>23</v>
      </c>
      <c r="E1345" s="1" t="s">
        <v>76</v>
      </c>
      <c r="F1345" s="1" t="s">
        <v>18</v>
      </c>
      <c r="G1345" s="9">
        <v>347685.16</v>
      </c>
      <c r="H1345" s="1">
        <v>554502.34</v>
      </c>
      <c r="I1345" s="1">
        <v>760</v>
      </c>
      <c r="J1345" s="1">
        <v>127</v>
      </c>
      <c r="K1345" s="1">
        <v>159131</v>
      </c>
      <c r="L1345" s="1" t="s">
        <v>26</v>
      </c>
      <c r="M1345" s="1" t="s">
        <v>33</v>
      </c>
      <c r="N1345" s="1">
        <v>2.6</v>
      </c>
    </row>
    <row r="1346" spans="1:14" x14ac:dyDescent="0.3">
      <c r="A1346" s="1" t="s">
        <v>2715</v>
      </c>
      <c r="B1346" s="1" t="s">
        <v>2716</v>
      </c>
      <c r="C1346" s="1">
        <v>19</v>
      </c>
      <c r="D1346" s="1" t="s">
        <v>16</v>
      </c>
      <c r="E1346" s="1" t="s">
        <v>45</v>
      </c>
      <c r="F1346" s="1" t="s">
        <v>39</v>
      </c>
      <c r="G1346" s="9">
        <v>1303476.1599999999</v>
      </c>
      <c r="H1346" s="1">
        <v>1831875.23</v>
      </c>
      <c r="I1346" s="1">
        <v>613</v>
      </c>
      <c r="J1346" s="1">
        <v>398</v>
      </c>
      <c r="K1346" s="1">
        <v>151531</v>
      </c>
      <c r="L1346" s="1" t="s">
        <v>26</v>
      </c>
      <c r="M1346" s="1" t="s">
        <v>20</v>
      </c>
      <c r="N1346" s="1">
        <v>3.4</v>
      </c>
    </row>
    <row r="1347" spans="1:14" x14ac:dyDescent="0.3">
      <c r="A1347" s="1" t="s">
        <v>2717</v>
      </c>
      <c r="B1347" s="1" t="s">
        <v>2718</v>
      </c>
      <c r="C1347" s="1">
        <v>33</v>
      </c>
      <c r="D1347" s="1" t="s">
        <v>23</v>
      </c>
      <c r="E1347" s="1" t="s">
        <v>29</v>
      </c>
      <c r="F1347" s="1" t="s">
        <v>81</v>
      </c>
      <c r="G1347" s="9">
        <v>843328.3</v>
      </c>
      <c r="H1347" s="1">
        <v>821468.46</v>
      </c>
      <c r="I1347" s="1">
        <v>858</v>
      </c>
      <c r="J1347" s="1">
        <v>340</v>
      </c>
      <c r="K1347" s="1">
        <v>121980</v>
      </c>
      <c r="L1347" s="1" t="s">
        <v>40</v>
      </c>
      <c r="M1347" s="1" t="s">
        <v>33</v>
      </c>
      <c r="N1347" s="1">
        <v>1.8</v>
      </c>
    </row>
    <row r="1348" spans="1:14" x14ac:dyDescent="0.3">
      <c r="A1348" s="1" t="s">
        <v>2719</v>
      </c>
      <c r="B1348" s="1" t="s">
        <v>2720</v>
      </c>
      <c r="C1348" s="1">
        <v>19</v>
      </c>
      <c r="D1348" s="1" t="s">
        <v>23</v>
      </c>
      <c r="E1348" s="1" t="s">
        <v>17</v>
      </c>
      <c r="F1348" s="1" t="s">
        <v>39</v>
      </c>
      <c r="G1348" s="9">
        <v>199166.83</v>
      </c>
      <c r="H1348" s="1">
        <v>1873525.62</v>
      </c>
      <c r="I1348" s="1">
        <v>564</v>
      </c>
      <c r="J1348" s="1">
        <v>91</v>
      </c>
      <c r="K1348" s="1">
        <v>46072</v>
      </c>
      <c r="L1348" s="1" t="s">
        <v>30</v>
      </c>
      <c r="M1348" s="1" t="s">
        <v>20</v>
      </c>
      <c r="N1348" s="1">
        <v>3.6</v>
      </c>
    </row>
    <row r="1349" spans="1:14" x14ac:dyDescent="0.3">
      <c r="A1349" s="1" t="s">
        <v>2721</v>
      </c>
      <c r="B1349" s="1" t="s">
        <v>2722</v>
      </c>
      <c r="C1349" s="1">
        <v>64</v>
      </c>
      <c r="D1349" s="1" t="s">
        <v>16</v>
      </c>
      <c r="E1349" s="1" t="s">
        <v>29</v>
      </c>
      <c r="F1349" s="1" t="s">
        <v>39</v>
      </c>
      <c r="G1349" s="9">
        <v>545337.29</v>
      </c>
      <c r="H1349" s="1">
        <v>1912731.75</v>
      </c>
      <c r="I1349" s="1">
        <v>595</v>
      </c>
      <c r="J1349" s="1">
        <v>163</v>
      </c>
      <c r="K1349" s="1">
        <v>62967</v>
      </c>
      <c r="L1349" s="1" t="s">
        <v>19</v>
      </c>
      <c r="M1349" s="1" t="s">
        <v>20</v>
      </c>
      <c r="N1349" s="1">
        <v>5</v>
      </c>
    </row>
    <row r="1350" spans="1:14" x14ac:dyDescent="0.3">
      <c r="A1350" s="1" t="s">
        <v>2723</v>
      </c>
      <c r="B1350" s="1" t="s">
        <v>2724</v>
      </c>
      <c r="C1350" s="1">
        <v>33</v>
      </c>
      <c r="D1350" s="1" t="s">
        <v>23</v>
      </c>
      <c r="E1350" s="1" t="s">
        <v>48</v>
      </c>
      <c r="F1350" s="1" t="s">
        <v>18</v>
      </c>
      <c r="G1350" s="9">
        <v>1169103.98</v>
      </c>
      <c r="H1350" s="1">
        <v>1986066.3</v>
      </c>
      <c r="I1350" s="1">
        <v>576</v>
      </c>
      <c r="J1350" s="1">
        <v>499</v>
      </c>
      <c r="K1350" s="1">
        <v>37296</v>
      </c>
      <c r="L1350" s="1" t="s">
        <v>30</v>
      </c>
      <c r="M1350" s="1" t="s">
        <v>20</v>
      </c>
      <c r="N1350" s="1">
        <v>1.7</v>
      </c>
    </row>
    <row r="1351" spans="1:14" x14ac:dyDescent="0.3">
      <c r="A1351" s="1" t="s">
        <v>2725</v>
      </c>
      <c r="B1351" s="1" t="s">
        <v>2726</v>
      </c>
      <c r="C1351" s="1">
        <v>48</v>
      </c>
      <c r="D1351" s="1" t="s">
        <v>16</v>
      </c>
      <c r="E1351" s="1" t="s">
        <v>17</v>
      </c>
      <c r="F1351" s="1" t="s">
        <v>39</v>
      </c>
      <c r="G1351" s="9">
        <v>923477.18</v>
      </c>
      <c r="H1351" s="1">
        <v>1963742.51</v>
      </c>
      <c r="I1351" s="1">
        <v>664</v>
      </c>
      <c r="J1351" s="1">
        <v>408</v>
      </c>
      <c r="K1351" s="1">
        <v>195111</v>
      </c>
      <c r="L1351" s="1" t="s">
        <v>26</v>
      </c>
      <c r="M1351" s="1" t="s">
        <v>20</v>
      </c>
      <c r="N1351" s="1">
        <v>1.4</v>
      </c>
    </row>
    <row r="1352" spans="1:14" x14ac:dyDescent="0.3">
      <c r="A1352" s="1" t="s">
        <v>2727</v>
      </c>
      <c r="B1352" s="1" t="s">
        <v>2728</v>
      </c>
      <c r="C1352" s="1">
        <v>57</v>
      </c>
      <c r="D1352" s="1" t="s">
        <v>16</v>
      </c>
      <c r="E1352" s="1" t="s">
        <v>24</v>
      </c>
      <c r="F1352" s="1" t="s">
        <v>25</v>
      </c>
      <c r="G1352" s="9">
        <v>1454286.06</v>
      </c>
      <c r="H1352" s="1">
        <v>1916209.81</v>
      </c>
      <c r="I1352" s="1">
        <v>364</v>
      </c>
      <c r="J1352" s="1">
        <v>88</v>
      </c>
      <c r="K1352" s="1">
        <v>230862</v>
      </c>
      <c r="L1352" s="1" t="s">
        <v>26</v>
      </c>
      <c r="M1352" s="1" t="s">
        <v>20</v>
      </c>
      <c r="N1352" s="1">
        <v>1.6</v>
      </c>
    </row>
    <row r="1353" spans="1:14" x14ac:dyDescent="0.3">
      <c r="A1353" s="1" t="s">
        <v>2729</v>
      </c>
      <c r="B1353" s="1" t="s">
        <v>2730</v>
      </c>
      <c r="C1353" s="1">
        <v>39</v>
      </c>
      <c r="D1353" s="1" t="s">
        <v>23</v>
      </c>
      <c r="E1353" s="1" t="s">
        <v>24</v>
      </c>
      <c r="F1353" s="1" t="s">
        <v>39</v>
      </c>
      <c r="G1353" s="9">
        <v>586970.92000000004</v>
      </c>
      <c r="H1353" s="1">
        <v>1891890.79</v>
      </c>
      <c r="I1353" s="1">
        <v>406</v>
      </c>
      <c r="J1353" s="1">
        <v>418</v>
      </c>
      <c r="K1353" s="1">
        <v>243741</v>
      </c>
      <c r="L1353" s="1" t="s">
        <v>40</v>
      </c>
      <c r="M1353" s="1" t="s">
        <v>33</v>
      </c>
      <c r="N1353" s="1">
        <v>3</v>
      </c>
    </row>
    <row r="1354" spans="1:14" x14ac:dyDescent="0.3">
      <c r="A1354" s="1" t="s">
        <v>2731</v>
      </c>
      <c r="B1354" s="1" t="s">
        <v>2732</v>
      </c>
      <c r="C1354" s="1">
        <v>67</v>
      </c>
      <c r="D1354" s="1" t="s">
        <v>23</v>
      </c>
      <c r="E1354" s="1" t="s">
        <v>45</v>
      </c>
      <c r="F1354" s="1" t="s">
        <v>25</v>
      </c>
      <c r="G1354" s="9">
        <v>1122862.8400000001</v>
      </c>
      <c r="H1354" s="1">
        <v>167251.42000000001</v>
      </c>
      <c r="I1354" s="1">
        <v>532</v>
      </c>
      <c r="J1354" s="1">
        <v>432</v>
      </c>
      <c r="K1354" s="1">
        <v>173709</v>
      </c>
      <c r="L1354" s="1" t="s">
        <v>26</v>
      </c>
      <c r="M1354" s="1" t="s">
        <v>33</v>
      </c>
      <c r="N1354" s="1">
        <v>3.6</v>
      </c>
    </row>
    <row r="1355" spans="1:14" x14ac:dyDescent="0.3">
      <c r="A1355" s="1" t="s">
        <v>2733</v>
      </c>
      <c r="B1355" s="1" t="s">
        <v>2734</v>
      </c>
      <c r="C1355" s="1">
        <v>30</v>
      </c>
      <c r="D1355" s="1" t="s">
        <v>23</v>
      </c>
      <c r="E1355" s="1" t="s">
        <v>48</v>
      </c>
      <c r="F1355" s="1" t="s">
        <v>25</v>
      </c>
      <c r="G1355" s="9">
        <v>59387.33</v>
      </c>
      <c r="H1355" s="1">
        <v>470201.32</v>
      </c>
      <c r="I1355" s="1">
        <v>884</v>
      </c>
      <c r="J1355" s="1">
        <v>186</v>
      </c>
      <c r="K1355" s="1">
        <v>31000</v>
      </c>
      <c r="L1355" s="1" t="s">
        <v>19</v>
      </c>
      <c r="M1355" s="1" t="s">
        <v>33</v>
      </c>
      <c r="N1355" s="1">
        <v>1.1000000000000001</v>
      </c>
    </row>
    <row r="1356" spans="1:14" x14ac:dyDescent="0.3">
      <c r="A1356" s="1" t="s">
        <v>2735</v>
      </c>
      <c r="B1356" s="1" t="s">
        <v>2736</v>
      </c>
      <c r="C1356" s="1">
        <v>47</v>
      </c>
      <c r="D1356" s="1" t="s">
        <v>16</v>
      </c>
      <c r="E1356" s="1" t="s">
        <v>45</v>
      </c>
      <c r="F1356" s="1" t="s">
        <v>25</v>
      </c>
      <c r="G1356" s="9">
        <v>205449.03</v>
      </c>
      <c r="H1356" s="1">
        <v>239943.39</v>
      </c>
      <c r="I1356" s="1">
        <v>833</v>
      </c>
      <c r="J1356" s="1">
        <v>292</v>
      </c>
      <c r="K1356" s="1">
        <v>42341</v>
      </c>
      <c r="L1356" s="1" t="s">
        <v>26</v>
      </c>
      <c r="M1356" s="1" t="s">
        <v>20</v>
      </c>
      <c r="N1356" s="1">
        <v>4.0999999999999996</v>
      </c>
    </row>
    <row r="1357" spans="1:14" x14ac:dyDescent="0.3">
      <c r="A1357" s="1" t="s">
        <v>2737</v>
      </c>
      <c r="B1357" s="1" t="s">
        <v>2738</v>
      </c>
      <c r="C1357" s="1">
        <v>57</v>
      </c>
      <c r="D1357" s="1" t="s">
        <v>23</v>
      </c>
      <c r="E1357" s="1" t="s">
        <v>55</v>
      </c>
      <c r="F1357" s="1" t="s">
        <v>18</v>
      </c>
      <c r="G1357" s="9">
        <v>53557.74</v>
      </c>
      <c r="H1357" s="1">
        <v>2088066.78</v>
      </c>
      <c r="I1357" s="1">
        <v>624</v>
      </c>
      <c r="J1357" s="1">
        <v>130</v>
      </c>
      <c r="K1357" s="1">
        <v>232554</v>
      </c>
      <c r="L1357" s="1" t="s">
        <v>19</v>
      </c>
      <c r="M1357" s="1" t="s">
        <v>20</v>
      </c>
      <c r="N1357" s="1">
        <v>2.2000000000000002</v>
      </c>
    </row>
    <row r="1358" spans="1:14" x14ac:dyDescent="0.3">
      <c r="A1358" s="1" t="s">
        <v>2739</v>
      </c>
      <c r="B1358" s="1" t="s">
        <v>2740</v>
      </c>
      <c r="C1358" s="1">
        <v>37</v>
      </c>
      <c r="D1358" s="1" t="s">
        <v>16</v>
      </c>
      <c r="E1358" s="1" t="s">
        <v>55</v>
      </c>
      <c r="F1358" s="1" t="s">
        <v>81</v>
      </c>
      <c r="G1358" s="9">
        <v>1446296.61</v>
      </c>
      <c r="H1358" s="1">
        <v>342298.7</v>
      </c>
      <c r="I1358" s="1">
        <v>564</v>
      </c>
      <c r="J1358" s="1">
        <v>422</v>
      </c>
      <c r="K1358" s="1">
        <v>194279</v>
      </c>
      <c r="L1358" s="1" t="s">
        <v>30</v>
      </c>
      <c r="M1358" s="1" t="s">
        <v>20</v>
      </c>
      <c r="N1358" s="1">
        <v>2.5</v>
      </c>
    </row>
    <row r="1359" spans="1:14" x14ac:dyDescent="0.3">
      <c r="A1359" s="1" t="s">
        <v>2741</v>
      </c>
      <c r="B1359" s="1" t="s">
        <v>2742</v>
      </c>
      <c r="C1359" s="1">
        <v>51</v>
      </c>
      <c r="D1359" s="1" t="s">
        <v>23</v>
      </c>
      <c r="E1359" s="1" t="s">
        <v>48</v>
      </c>
      <c r="F1359" s="1" t="s">
        <v>39</v>
      </c>
      <c r="G1359" s="9">
        <v>117291.93</v>
      </c>
      <c r="H1359" s="1">
        <v>770962.83</v>
      </c>
      <c r="I1359" s="1">
        <v>607</v>
      </c>
      <c r="J1359" s="1">
        <v>213</v>
      </c>
      <c r="K1359" s="1">
        <v>115364</v>
      </c>
      <c r="L1359" s="1" t="s">
        <v>19</v>
      </c>
      <c r="M1359" s="1" t="s">
        <v>20</v>
      </c>
      <c r="N1359" s="1">
        <v>1.1000000000000001</v>
      </c>
    </row>
    <row r="1360" spans="1:14" x14ac:dyDescent="0.3">
      <c r="A1360" s="1" t="s">
        <v>2743</v>
      </c>
      <c r="B1360" s="1" t="s">
        <v>2744</v>
      </c>
      <c r="C1360" s="1">
        <v>51</v>
      </c>
      <c r="D1360" s="1" t="s">
        <v>23</v>
      </c>
      <c r="E1360" s="1" t="s">
        <v>48</v>
      </c>
      <c r="F1360" s="1" t="s">
        <v>18</v>
      </c>
      <c r="G1360" s="9">
        <v>901321.18</v>
      </c>
      <c r="H1360" s="1">
        <v>250306.55</v>
      </c>
      <c r="I1360" s="1">
        <v>416</v>
      </c>
      <c r="J1360" s="1">
        <v>53</v>
      </c>
      <c r="K1360" s="1">
        <v>178048</v>
      </c>
      <c r="L1360" s="1" t="s">
        <v>40</v>
      </c>
      <c r="M1360" s="1" t="s">
        <v>20</v>
      </c>
      <c r="N1360" s="1">
        <v>4.9000000000000004</v>
      </c>
    </row>
    <row r="1361" spans="1:14" x14ac:dyDescent="0.3">
      <c r="A1361" s="1" t="s">
        <v>2745</v>
      </c>
      <c r="B1361" s="1" t="s">
        <v>2746</v>
      </c>
      <c r="C1361" s="1">
        <v>55</v>
      </c>
      <c r="D1361" s="1" t="s">
        <v>16</v>
      </c>
      <c r="E1361" s="1" t="s">
        <v>55</v>
      </c>
      <c r="F1361" s="1" t="s">
        <v>81</v>
      </c>
      <c r="G1361" s="9">
        <v>122864.1</v>
      </c>
      <c r="H1361" s="1">
        <v>122696.76</v>
      </c>
      <c r="I1361" s="1">
        <v>618</v>
      </c>
      <c r="J1361" s="1">
        <v>435</v>
      </c>
      <c r="K1361" s="1">
        <v>229812</v>
      </c>
      <c r="L1361" s="1" t="s">
        <v>19</v>
      </c>
      <c r="M1361" s="1" t="s">
        <v>33</v>
      </c>
      <c r="N1361" s="1">
        <v>4</v>
      </c>
    </row>
    <row r="1362" spans="1:14" x14ac:dyDescent="0.3">
      <c r="A1362" s="1" t="s">
        <v>2747</v>
      </c>
      <c r="B1362" s="1" t="s">
        <v>2748</v>
      </c>
      <c r="C1362" s="1">
        <v>66</v>
      </c>
      <c r="D1362" s="1" t="s">
        <v>16</v>
      </c>
      <c r="E1362" s="1" t="s">
        <v>38</v>
      </c>
      <c r="F1362" s="1" t="s">
        <v>18</v>
      </c>
      <c r="G1362" s="9">
        <v>471278.83</v>
      </c>
      <c r="H1362" s="1">
        <v>2194910.67</v>
      </c>
      <c r="I1362" s="1">
        <v>395</v>
      </c>
      <c r="J1362" s="1">
        <v>341</v>
      </c>
      <c r="K1362" s="1">
        <v>30679</v>
      </c>
      <c r="L1362" s="1" t="s">
        <v>19</v>
      </c>
      <c r="M1362" s="1" t="s">
        <v>20</v>
      </c>
      <c r="N1362" s="1">
        <v>2.2999999999999998</v>
      </c>
    </row>
    <row r="1363" spans="1:14" x14ac:dyDescent="0.3">
      <c r="A1363" s="1" t="s">
        <v>2749</v>
      </c>
      <c r="B1363" s="1" t="s">
        <v>2750</v>
      </c>
      <c r="C1363" s="1">
        <v>24</v>
      </c>
      <c r="D1363" s="1" t="s">
        <v>16</v>
      </c>
      <c r="E1363" s="1" t="s">
        <v>24</v>
      </c>
      <c r="F1363" s="1" t="s">
        <v>18</v>
      </c>
      <c r="G1363" s="9">
        <v>68574.649999999994</v>
      </c>
      <c r="H1363" s="1">
        <v>2023751.44</v>
      </c>
      <c r="I1363" s="1">
        <v>715</v>
      </c>
      <c r="J1363" s="1">
        <v>282</v>
      </c>
      <c r="K1363" s="1">
        <v>145036</v>
      </c>
      <c r="L1363" s="1" t="s">
        <v>26</v>
      </c>
      <c r="M1363" s="1" t="s">
        <v>20</v>
      </c>
      <c r="N1363" s="1">
        <v>1.4</v>
      </c>
    </row>
    <row r="1364" spans="1:14" x14ac:dyDescent="0.3">
      <c r="A1364" s="1" t="s">
        <v>2751</v>
      </c>
      <c r="B1364" s="1" t="s">
        <v>2752</v>
      </c>
      <c r="C1364" s="1">
        <v>29</v>
      </c>
      <c r="D1364" s="1" t="s">
        <v>23</v>
      </c>
      <c r="E1364" s="1" t="s">
        <v>24</v>
      </c>
      <c r="F1364" s="1" t="s">
        <v>39</v>
      </c>
      <c r="G1364" s="9">
        <v>1377653.91</v>
      </c>
      <c r="H1364" s="1">
        <v>1751743.66</v>
      </c>
      <c r="I1364" s="1">
        <v>406</v>
      </c>
      <c r="J1364" s="1">
        <v>327</v>
      </c>
      <c r="K1364" s="1">
        <v>189996</v>
      </c>
      <c r="L1364" s="1" t="s">
        <v>40</v>
      </c>
      <c r="M1364" s="1" t="s">
        <v>20</v>
      </c>
      <c r="N1364" s="1">
        <v>4.2</v>
      </c>
    </row>
    <row r="1365" spans="1:14" x14ac:dyDescent="0.3">
      <c r="A1365" s="1" t="s">
        <v>2753</v>
      </c>
      <c r="B1365" s="1" t="s">
        <v>2754</v>
      </c>
      <c r="C1365" s="1">
        <v>44</v>
      </c>
      <c r="D1365" s="1" t="s">
        <v>16</v>
      </c>
      <c r="E1365" s="1" t="s">
        <v>45</v>
      </c>
      <c r="F1365" s="1" t="s">
        <v>39</v>
      </c>
      <c r="G1365" s="9">
        <v>1023709.75</v>
      </c>
      <c r="H1365" s="1">
        <v>2187681.86</v>
      </c>
      <c r="I1365" s="1">
        <v>890</v>
      </c>
      <c r="J1365" s="1">
        <v>411</v>
      </c>
      <c r="K1365" s="1">
        <v>21385</v>
      </c>
      <c r="L1365" s="1" t="s">
        <v>19</v>
      </c>
      <c r="M1365" s="1" t="s">
        <v>33</v>
      </c>
      <c r="N1365" s="1">
        <v>3.9</v>
      </c>
    </row>
    <row r="1366" spans="1:14" x14ac:dyDescent="0.3">
      <c r="A1366" s="1" t="s">
        <v>2755</v>
      </c>
      <c r="B1366" s="1" t="s">
        <v>2756</v>
      </c>
      <c r="C1366" s="1">
        <v>31</v>
      </c>
      <c r="D1366" s="1" t="s">
        <v>23</v>
      </c>
      <c r="E1366" s="1" t="s">
        <v>17</v>
      </c>
      <c r="F1366" s="1" t="s">
        <v>81</v>
      </c>
      <c r="G1366" s="9">
        <v>1001989.02</v>
      </c>
      <c r="H1366" s="1">
        <v>481179.48</v>
      </c>
      <c r="I1366" s="1">
        <v>840</v>
      </c>
      <c r="J1366" s="1">
        <v>154</v>
      </c>
      <c r="K1366" s="1">
        <v>180761</v>
      </c>
      <c r="L1366" s="1" t="s">
        <v>26</v>
      </c>
      <c r="M1366" s="1" t="s">
        <v>20</v>
      </c>
      <c r="N1366" s="1">
        <v>2.4</v>
      </c>
    </row>
    <row r="1367" spans="1:14" x14ac:dyDescent="0.3">
      <c r="A1367" s="1" t="s">
        <v>2757</v>
      </c>
      <c r="B1367" s="1" t="s">
        <v>2758</v>
      </c>
      <c r="C1367" s="1">
        <v>57</v>
      </c>
      <c r="D1367" s="1" t="s">
        <v>16</v>
      </c>
      <c r="E1367" s="1" t="s">
        <v>29</v>
      </c>
      <c r="F1367" s="1" t="s">
        <v>25</v>
      </c>
      <c r="G1367" s="9">
        <v>1334903.71</v>
      </c>
      <c r="H1367" s="1">
        <v>1767260.91</v>
      </c>
      <c r="I1367" s="1">
        <v>561</v>
      </c>
      <c r="J1367" s="1">
        <v>336</v>
      </c>
      <c r="K1367" s="1">
        <v>244431</v>
      </c>
      <c r="L1367" s="1" t="s">
        <v>40</v>
      </c>
      <c r="M1367" s="1" t="s">
        <v>33</v>
      </c>
      <c r="N1367" s="1">
        <v>3.4</v>
      </c>
    </row>
    <row r="1368" spans="1:14" x14ac:dyDescent="0.3">
      <c r="A1368" s="1" t="s">
        <v>2759</v>
      </c>
      <c r="B1368" s="1" t="s">
        <v>2760</v>
      </c>
      <c r="C1368" s="1">
        <v>62</v>
      </c>
      <c r="D1368" s="1" t="s">
        <v>16</v>
      </c>
      <c r="E1368" s="1" t="s">
        <v>38</v>
      </c>
      <c r="F1368" s="1" t="s">
        <v>18</v>
      </c>
      <c r="G1368" s="9">
        <v>867040.94</v>
      </c>
      <c r="H1368" s="1">
        <v>2036115.58</v>
      </c>
      <c r="I1368" s="1">
        <v>894</v>
      </c>
      <c r="J1368" s="1">
        <v>66</v>
      </c>
      <c r="K1368" s="1">
        <v>53604</v>
      </c>
      <c r="L1368" s="1" t="s">
        <v>40</v>
      </c>
      <c r="M1368" s="1" t="s">
        <v>20</v>
      </c>
      <c r="N1368" s="1">
        <v>4.9000000000000004</v>
      </c>
    </row>
    <row r="1369" spans="1:14" x14ac:dyDescent="0.3">
      <c r="A1369" s="1" t="s">
        <v>2761</v>
      </c>
      <c r="B1369" s="1" t="s">
        <v>2762</v>
      </c>
      <c r="C1369" s="1">
        <v>65</v>
      </c>
      <c r="D1369" s="1" t="s">
        <v>16</v>
      </c>
      <c r="E1369" s="1" t="s">
        <v>76</v>
      </c>
      <c r="F1369" s="1" t="s">
        <v>39</v>
      </c>
      <c r="G1369" s="9">
        <v>1098222.46</v>
      </c>
      <c r="H1369" s="1">
        <v>1710170.42</v>
      </c>
      <c r="I1369" s="1">
        <v>436</v>
      </c>
      <c r="J1369" s="1">
        <v>499</v>
      </c>
      <c r="K1369" s="1">
        <v>32206</v>
      </c>
      <c r="L1369" s="1" t="s">
        <v>19</v>
      </c>
      <c r="M1369" s="1" t="s">
        <v>20</v>
      </c>
      <c r="N1369" s="1">
        <v>1.9</v>
      </c>
    </row>
    <row r="1370" spans="1:14" x14ac:dyDescent="0.3">
      <c r="A1370" s="1" t="s">
        <v>2763</v>
      </c>
      <c r="B1370" s="1" t="s">
        <v>2764</v>
      </c>
      <c r="C1370" s="1">
        <v>44</v>
      </c>
      <c r="D1370" s="1" t="s">
        <v>16</v>
      </c>
      <c r="E1370" s="1" t="s">
        <v>48</v>
      </c>
      <c r="F1370" s="1" t="s">
        <v>81</v>
      </c>
      <c r="G1370" s="9">
        <v>515328.7</v>
      </c>
      <c r="H1370" s="1">
        <v>1117686.26</v>
      </c>
      <c r="I1370" s="1">
        <v>450</v>
      </c>
      <c r="J1370" s="1">
        <v>375</v>
      </c>
      <c r="K1370" s="1">
        <v>48037</v>
      </c>
      <c r="L1370" s="1" t="s">
        <v>30</v>
      </c>
      <c r="M1370" s="1" t="s">
        <v>33</v>
      </c>
      <c r="N1370" s="1">
        <v>3.6</v>
      </c>
    </row>
    <row r="1371" spans="1:14" x14ac:dyDescent="0.3">
      <c r="A1371" s="1" t="s">
        <v>2765</v>
      </c>
      <c r="B1371" s="1" t="s">
        <v>2766</v>
      </c>
      <c r="C1371" s="1">
        <v>60</v>
      </c>
      <c r="D1371" s="1" t="s">
        <v>16</v>
      </c>
      <c r="E1371" s="1" t="s">
        <v>17</v>
      </c>
      <c r="F1371" s="1" t="s">
        <v>81</v>
      </c>
      <c r="G1371" s="9">
        <v>1022070.22</v>
      </c>
      <c r="H1371" s="1">
        <v>1108529.43</v>
      </c>
      <c r="I1371" s="1">
        <v>506</v>
      </c>
      <c r="J1371" s="1">
        <v>444</v>
      </c>
      <c r="K1371" s="1">
        <v>156017</v>
      </c>
      <c r="L1371" s="1" t="s">
        <v>40</v>
      </c>
      <c r="M1371" s="1" t="s">
        <v>20</v>
      </c>
      <c r="N1371" s="1">
        <v>3.5</v>
      </c>
    </row>
    <row r="1372" spans="1:14" x14ac:dyDescent="0.3">
      <c r="A1372" s="1" t="s">
        <v>2767</v>
      </c>
      <c r="B1372" s="1" t="s">
        <v>2768</v>
      </c>
      <c r="C1372" s="1">
        <v>49</v>
      </c>
      <c r="D1372" s="1" t="s">
        <v>16</v>
      </c>
      <c r="E1372" s="1" t="s">
        <v>76</v>
      </c>
      <c r="F1372" s="1" t="s">
        <v>18</v>
      </c>
      <c r="G1372" s="9">
        <v>1423968.8</v>
      </c>
      <c r="H1372" s="1">
        <v>1093627.05</v>
      </c>
      <c r="I1372" s="1">
        <v>558</v>
      </c>
      <c r="J1372" s="1">
        <v>6</v>
      </c>
      <c r="K1372" s="1">
        <v>148165</v>
      </c>
      <c r="L1372" s="1" t="s">
        <v>30</v>
      </c>
      <c r="M1372" s="1" t="s">
        <v>33</v>
      </c>
      <c r="N1372" s="1">
        <v>2.7</v>
      </c>
    </row>
    <row r="1373" spans="1:14" x14ac:dyDescent="0.3">
      <c r="A1373" s="1" t="s">
        <v>2769</v>
      </c>
      <c r="B1373" s="1" t="s">
        <v>2770</v>
      </c>
      <c r="C1373" s="1">
        <v>31</v>
      </c>
      <c r="D1373" s="1" t="s">
        <v>16</v>
      </c>
      <c r="E1373" s="1" t="s">
        <v>45</v>
      </c>
      <c r="F1373" s="1" t="s">
        <v>18</v>
      </c>
      <c r="G1373" s="9">
        <v>170072.65</v>
      </c>
      <c r="H1373" s="1">
        <v>718024.84</v>
      </c>
      <c r="I1373" s="1">
        <v>590</v>
      </c>
      <c r="J1373" s="1">
        <v>148</v>
      </c>
      <c r="K1373" s="1">
        <v>128371</v>
      </c>
      <c r="L1373" s="1" t="s">
        <v>30</v>
      </c>
      <c r="M1373" s="1" t="s">
        <v>33</v>
      </c>
      <c r="N1373" s="1">
        <v>1.7</v>
      </c>
    </row>
    <row r="1374" spans="1:14" x14ac:dyDescent="0.3">
      <c r="A1374" s="1" t="s">
        <v>2771</v>
      </c>
      <c r="B1374" s="1" t="s">
        <v>2772</v>
      </c>
      <c r="C1374" s="1">
        <v>37</v>
      </c>
      <c r="D1374" s="1" t="s">
        <v>23</v>
      </c>
      <c r="E1374" s="1" t="s">
        <v>55</v>
      </c>
      <c r="F1374" s="1" t="s">
        <v>39</v>
      </c>
      <c r="G1374" s="9">
        <v>340352.03</v>
      </c>
      <c r="H1374" s="1">
        <v>502310.02</v>
      </c>
      <c r="I1374" s="1">
        <v>582</v>
      </c>
      <c r="J1374" s="1">
        <v>434</v>
      </c>
      <c r="K1374" s="1">
        <v>188886</v>
      </c>
      <c r="L1374" s="1" t="s">
        <v>30</v>
      </c>
      <c r="M1374" s="1" t="s">
        <v>20</v>
      </c>
      <c r="N1374" s="1">
        <v>2.9</v>
      </c>
    </row>
    <row r="1375" spans="1:14" x14ac:dyDescent="0.3">
      <c r="A1375" s="1" t="s">
        <v>2773</v>
      </c>
      <c r="B1375" s="1" t="s">
        <v>2774</v>
      </c>
      <c r="C1375" s="1">
        <v>46</v>
      </c>
      <c r="D1375" s="1" t="s">
        <v>16</v>
      </c>
      <c r="E1375" s="1" t="s">
        <v>29</v>
      </c>
      <c r="F1375" s="1" t="s">
        <v>81</v>
      </c>
      <c r="G1375" s="9">
        <v>30632.93</v>
      </c>
      <c r="H1375" s="1">
        <v>586052.42000000004</v>
      </c>
      <c r="I1375" s="1">
        <v>797</v>
      </c>
      <c r="J1375" s="1">
        <v>201</v>
      </c>
      <c r="K1375" s="1">
        <v>54992</v>
      </c>
      <c r="L1375" s="1" t="s">
        <v>26</v>
      </c>
      <c r="M1375" s="1" t="s">
        <v>33</v>
      </c>
      <c r="N1375" s="1">
        <v>1.9</v>
      </c>
    </row>
    <row r="1376" spans="1:14" x14ac:dyDescent="0.3">
      <c r="A1376" s="1" t="s">
        <v>2775</v>
      </c>
      <c r="B1376" s="1" t="s">
        <v>2776</v>
      </c>
      <c r="C1376" s="1">
        <v>62</v>
      </c>
      <c r="D1376" s="1" t="s">
        <v>16</v>
      </c>
      <c r="E1376" s="1" t="s">
        <v>29</v>
      </c>
      <c r="F1376" s="1" t="s">
        <v>39</v>
      </c>
      <c r="G1376" s="9">
        <v>411359.1</v>
      </c>
      <c r="H1376" s="1">
        <v>1645734.54</v>
      </c>
      <c r="I1376" s="1">
        <v>617</v>
      </c>
      <c r="J1376" s="1">
        <v>387</v>
      </c>
      <c r="K1376" s="1">
        <v>45908</v>
      </c>
      <c r="L1376" s="1" t="s">
        <v>26</v>
      </c>
      <c r="M1376" s="1" t="s">
        <v>33</v>
      </c>
      <c r="N1376" s="1">
        <v>2.6</v>
      </c>
    </row>
    <row r="1377" spans="1:14" x14ac:dyDescent="0.3">
      <c r="A1377" s="1" t="s">
        <v>2777</v>
      </c>
      <c r="B1377" s="1" t="s">
        <v>2778</v>
      </c>
      <c r="C1377" s="1">
        <v>69</v>
      </c>
      <c r="D1377" s="1" t="s">
        <v>16</v>
      </c>
      <c r="E1377" s="1" t="s">
        <v>45</v>
      </c>
      <c r="F1377" s="1" t="s">
        <v>18</v>
      </c>
      <c r="G1377" s="9">
        <v>1137816.7</v>
      </c>
      <c r="H1377" s="1">
        <v>1671117.32</v>
      </c>
      <c r="I1377" s="1">
        <v>869</v>
      </c>
      <c r="J1377" s="1">
        <v>443</v>
      </c>
      <c r="K1377" s="1">
        <v>84040</v>
      </c>
      <c r="L1377" s="1" t="s">
        <v>40</v>
      </c>
      <c r="M1377" s="1" t="s">
        <v>20</v>
      </c>
      <c r="N1377" s="1">
        <v>3.5</v>
      </c>
    </row>
    <row r="1378" spans="1:14" x14ac:dyDescent="0.3">
      <c r="A1378" s="1" t="s">
        <v>2779</v>
      </c>
      <c r="B1378" s="1" t="s">
        <v>2780</v>
      </c>
      <c r="C1378" s="1">
        <v>38</v>
      </c>
      <c r="D1378" s="1" t="s">
        <v>16</v>
      </c>
      <c r="E1378" s="1" t="s">
        <v>38</v>
      </c>
      <c r="F1378" s="1" t="s">
        <v>18</v>
      </c>
      <c r="G1378" s="9">
        <v>1036008.48</v>
      </c>
      <c r="H1378" s="1">
        <v>1384680.97</v>
      </c>
      <c r="I1378" s="1">
        <v>881</v>
      </c>
      <c r="J1378" s="1">
        <v>179</v>
      </c>
      <c r="K1378" s="1">
        <v>221455</v>
      </c>
      <c r="L1378" s="1" t="s">
        <v>26</v>
      </c>
      <c r="M1378" s="1" t="s">
        <v>33</v>
      </c>
      <c r="N1378" s="1">
        <v>1</v>
      </c>
    </row>
    <row r="1379" spans="1:14" x14ac:dyDescent="0.3">
      <c r="A1379" s="1" t="s">
        <v>2781</v>
      </c>
      <c r="B1379" s="1" t="s">
        <v>2782</v>
      </c>
      <c r="C1379" s="1">
        <v>34</v>
      </c>
      <c r="D1379" s="1" t="s">
        <v>23</v>
      </c>
      <c r="E1379" s="1" t="s">
        <v>29</v>
      </c>
      <c r="F1379" s="1" t="s">
        <v>25</v>
      </c>
      <c r="G1379" s="9">
        <v>1207866.82</v>
      </c>
      <c r="H1379" s="1">
        <v>1465480.89</v>
      </c>
      <c r="I1379" s="1">
        <v>711</v>
      </c>
      <c r="J1379" s="1">
        <v>347</v>
      </c>
      <c r="K1379" s="1">
        <v>202459</v>
      </c>
      <c r="L1379" s="1" t="s">
        <v>30</v>
      </c>
      <c r="M1379" s="1" t="s">
        <v>20</v>
      </c>
      <c r="N1379" s="1">
        <v>4.4000000000000004</v>
      </c>
    </row>
    <row r="1380" spans="1:14" x14ac:dyDescent="0.3">
      <c r="A1380" s="1" t="s">
        <v>2783</v>
      </c>
      <c r="B1380" s="1" t="s">
        <v>2784</v>
      </c>
      <c r="C1380" s="1">
        <v>33</v>
      </c>
      <c r="D1380" s="1" t="s">
        <v>23</v>
      </c>
      <c r="E1380" s="1" t="s">
        <v>45</v>
      </c>
      <c r="F1380" s="1" t="s">
        <v>39</v>
      </c>
      <c r="G1380" s="9">
        <v>73476.13</v>
      </c>
      <c r="H1380" s="1">
        <v>840369.94</v>
      </c>
      <c r="I1380" s="1">
        <v>782</v>
      </c>
      <c r="J1380" s="1">
        <v>393</v>
      </c>
      <c r="K1380" s="1">
        <v>105122</v>
      </c>
      <c r="L1380" s="1" t="s">
        <v>30</v>
      </c>
      <c r="M1380" s="1" t="s">
        <v>20</v>
      </c>
      <c r="N1380" s="1">
        <v>2</v>
      </c>
    </row>
    <row r="1381" spans="1:14" x14ac:dyDescent="0.3">
      <c r="A1381" s="1" t="s">
        <v>2785</v>
      </c>
      <c r="B1381" s="1" t="s">
        <v>2786</v>
      </c>
      <c r="C1381" s="1">
        <v>62</v>
      </c>
      <c r="D1381" s="1" t="s">
        <v>16</v>
      </c>
      <c r="E1381" s="1" t="s">
        <v>45</v>
      </c>
      <c r="F1381" s="1" t="s">
        <v>25</v>
      </c>
      <c r="G1381" s="9">
        <v>159272.66</v>
      </c>
      <c r="H1381" s="1">
        <v>2239813.27</v>
      </c>
      <c r="I1381" s="1">
        <v>536</v>
      </c>
      <c r="J1381" s="1">
        <v>215</v>
      </c>
      <c r="K1381" s="1">
        <v>39993</v>
      </c>
      <c r="L1381" s="1" t="s">
        <v>19</v>
      </c>
      <c r="M1381" s="1" t="s">
        <v>20</v>
      </c>
      <c r="N1381" s="1">
        <v>4.5</v>
      </c>
    </row>
    <row r="1382" spans="1:14" x14ac:dyDescent="0.3">
      <c r="A1382" s="1" t="s">
        <v>2787</v>
      </c>
      <c r="B1382" s="1" t="s">
        <v>2788</v>
      </c>
      <c r="C1382" s="1">
        <v>61</v>
      </c>
      <c r="D1382" s="1" t="s">
        <v>16</v>
      </c>
      <c r="E1382" s="1" t="s">
        <v>55</v>
      </c>
      <c r="F1382" s="1" t="s">
        <v>18</v>
      </c>
      <c r="G1382" s="9">
        <v>664715.36</v>
      </c>
      <c r="H1382" s="1">
        <v>339303.11</v>
      </c>
      <c r="I1382" s="1">
        <v>519</v>
      </c>
      <c r="J1382" s="1">
        <v>116</v>
      </c>
      <c r="K1382" s="1">
        <v>163803</v>
      </c>
      <c r="L1382" s="1" t="s">
        <v>30</v>
      </c>
      <c r="M1382" s="1" t="s">
        <v>20</v>
      </c>
      <c r="N1382" s="1">
        <v>2.5</v>
      </c>
    </row>
    <row r="1383" spans="1:14" x14ac:dyDescent="0.3">
      <c r="A1383" s="1" t="s">
        <v>2789</v>
      </c>
      <c r="B1383" s="1" t="s">
        <v>2790</v>
      </c>
      <c r="C1383" s="1">
        <v>35</v>
      </c>
      <c r="D1383" s="1" t="s">
        <v>16</v>
      </c>
      <c r="E1383" s="1" t="s">
        <v>29</v>
      </c>
      <c r="F1383" s="1" t="s">
        <v>18</v>
      </c>
      <c r="G1383" s="9">
        <v>884996.22</v>
      </c>
      <c r="H1383" s="1">
        <v>1124592.22</v>
      </c>
      <c r="I1383" s="1">
        <v>514</v>
      </c>
      <c r="J1383" s="1">
        <v>52</v>
      </c>
      <c r="K1383" s="1">
        <v>188563</v>
      </c>
      <c r="L1383" s="1" t="s">
        <v>26</v>
      </c>
      <c r="M1383" s="1" t="s">
        <v>20</v>
      </c>
      <c r="N1383" s="1">
        <v>2.4</v>
      </c>
    </row>
    <row r="1384" spans="1:14" x14ac:dyDescent="0.3">
      <c r="A1384" s="1" t="s">
        <v>2791</v>
      </c>
      <c r="B1384" s="1" t="s">
        <v>2792</v>
      </c>
      <c r="C1384" s="1">
        <v>20</v>
      </c>
      <c r="D1384" s="1" t="s">
        <v>16</v>
      </c>
      <c r="E1384" s="1" t="s">
        <v>17</v>
      </c>
      <c r="F1384" s="1" t="s">
        <v>81</v>
      </c>
      <c r="G1384" s="9">
        <v>1035050.06</v>
      </c>
      <c r="H1384" s="1">
        <v>1352687.85</v>
      </c>
      <c r="I1384" s="1">
        <v>306</v>
      </c>
      <c r="J1384" s="1">
        <v>479</v>
      </c>
      <c r="K1384" s="1">
        <v>144783</v>
      </c>
      <c r="L1384" s="1" t="s">
        <v>19</v>
      </c>
      <c r="M1384" s="1" t="s">
        <v>20</v>
      </c>
      <c r="N1384" s="1">
        <v>4.4000000000000004</v>
      </c>
    </row>
    <row r="1385" spans="1:14" x14ac:dyDescent="0.3">
      <c r="A1385" s="1" t="s">
        <v>2793</v>
      </c>
      <c r="B1385" s="1" t="s">
        <v>2794</v>
      </c>
      <c r="C1385" s="1">
        <v>50</v>
      </c>
      <c r="D1385" s="1" t="s">
        <v>23</v>
      </c>
      <c r="E1385" s="1" t="s">
        <v>45</v>
      </c>
      <c r="F1385" s="1" t="s">
        <v>39</v>
      </c>
      <c r="G1385" s="9">
        <v>347847.2</v>
      </c>
      <c r="H1385" s="1">
        <v>1439186.99</v>
      </c>
      <c r="I1385" s="1">
        <v>300</v>
      </c>
      <c r="J1385" s="1">
        <v>223</v>
      </c>
      <c r="K1385" s="1">
        <v>172798</v>
      </c>
      <c r="L1385" s="1" t="s">
        <v>19</v>
      </c>
      <c r="M1385" s="1" t="s">
        <v>20</v>
      </c>
      <c r="N1385" s="1">
        <v>3.8</v>
      </c>
    </row>
    <row r="1386" spans="1:14" x14ac:dyDescent="0.3">
      <c r="A1386" s="1" t="s">
        <v>2795</v>
      </c>
      <c r="B1386" s="1" t="s">
        <v>2796</v>
      </c>
      <c r="C1386" s="1">
        <v>58</v>
      </c>
      <c r="D1386" s="1" t="s">
        <v>16</v>
      </c>
      <c r="E1386" s="1" t="s">
        <v>38</v>
      </c>
      <c r="F1386" s="1" t="s">
        <v>39</v>
      </c>
      <c r="G1386" s="9">
        <v>36935.29</v>
      </c>
      <c r="H1386" s="1">
        <v>688144.83</v>
      </c>
      <c r="I1386" s="1">
        <v>476</v>
      </c>
      <c r="J1386" s="1">
        <v>426</v>
      </c>
      <c r="K1386" s="1">
        <v>169868</v>
      </c>
      <c r="L1386" s="1" t="s">
        <v>40</v>
      </c>
      <c r="M1386" s="1" t="s">
        <v>20</v>
      </c>
      <c r="N1386" s="1">
        <v>1.6</v>
      </c>
    </row>
    <row r="1387" spans="1:14" x14ac:dyDescent="0.3">
      <c r="A1387" s="1" t="s">
        <v>2797</v>
      </c>
      <c r="B1387" s="1" t="s">
        <v>721</v>
      </c>
      <c r="C1387" s="1">
        <v>26</v>
      </c>
      <c r="D1387" s="1" t="s">
        <v>16</v>
      </c>
      <c r="E1387" s="1" t="s">
        <v>24</v>
      </c>
      <c r="F1387" s="1" t="s">
        <v>81</v>
      </c>
      <c r="G1387" s="9">
        <v>693978.4</v>
      </c>
      <c r="H1387" s="1">
        <v>1654153.18</v>
      </c>
      <c r="I1387" s="1">
        <v>531</v>
      </c>
      <c r="J1387" s="1">
        <v>321</v>
      </c>
      <c r="K1387" s="1">
        <v>97332</v>
      </c>
      <c r="L1387" s="1" t="s">
        <v>26</v>
      </c>
      <c r="M1387" s="1" t="s">
        <v>33</v>
      </c>
      <c r="N1387" s="1">
        <v>1.5</v>
      </c>
    </row>
    <row r="1388" spans="1:14" x14ac:dyDescent="0.3">
      <c r="A1388" s="1" t="s">
        <v>2798</v>
      </c>
      <c r="B1388" s="1" t="s">
        <v>2799</v>
      </c>
      <c r="C1388" s="1">
        <v>27</v>
      </c>
      <c r="D1388" s="1" t="s">
        <v>23</v>
      </c>
      <c r="E1388" s="1" t="s">
        <v>76</v>
      </c>
      <c r="F1388" s="1" t="s">
        <v>39</v>
      </c>
      <c r="G1388" s="9">
        <v>99585.63</v>
      </c>
      <c r="H1388" s="1">
        <v>2252891.23</v>
      </c>
      <c r="I1388" s="1">
        <v>785</v>
      </c>
      <c r="J1388" s="1">
        <v>198</v>
      </c>
      <c r="K1388" s="1">
        <v>200333</v>
      </c>
      <c r="L1388" s="1" t="s">
        <v>30</v>
      </c>
      <c r="M1388" s="1" t="s">
        <v>20</v>
      </c>
      <c r="N1388" s="1">
        <v>1</v>
      </c>
    </row>
    <row r="1389" spans="1:14" x14ac:dyDescent="0.3">
      <c r="A1389" s="1" t="s">
        <v>2800</v>
      </c>
      <c r="B1389" s="1" t="s">
        <v>2801</v>
      </c>
      <c r="C1389" s="1">
        <v>23</v>
      </c>
      <c r="D1389" s="1" t="s">
        <v>16</v>
      </c>
      <c r="E1389" s="1" t="s">
        <v>55</v>
      </c>
      <c r="F1389" s="1" t="s">
        <v>81</v>
      </c>
      <c r="G1389" s="9">
        <v>240513.82</v>
      </c>
      <c r="H1389" s="1">
        <v>183032.57</v>
      </c>
      <c r="I1389" s="1">
        <v>725</v>
      </c>
      <c r="J1389" s="1">
        <v>60</v>
      </c>
      <c r="K1389" s="1">
        <v>220387</v>
      </c>
      <c r="L1389" s="1" t="s">
        <v>30</v>
      </c>
      <c r="M1389" s="1" t="s">
        <v>20</v>
      </c>
      <c r="N1389" s="1">
        <v>2.7</v>
      </c>
    </row>
    <row r="1390" spans="1:14" x14ac:dyDescent="0.3">
      <c r="A1390" s="1" t="s">
        <v>2802</v>
      </c>
      <c r="B1390" s="1" t="s">
        <v>2803</v>
      </c>
      <c r="C1390" s="1">
        <v>56</v>
      </c>
      <c r="D1390" s="1" t="s">
        <v>23</v>
      </c>
      <c r="E1390" s="1" t="s">
        <v>55</v>
      </c>
      <c r="F1390" s="1" t="s">
        <v>81</v>
      </c>
      <c r="G1390" s="9">
        <v>992472.35</v>
      </c>
      <c r="H1390" s="1">
        <v>538968.96</v>
      </c>
      <c r="I1390" s="1">
        <v>759</v>
      </c>
      <c r="J1390" s="1">
        <v>222</v>
      </c>
      <c r="K1390" s="1">
        <v>159682</v>
      </c>
      <c r="L1390" s="1" t="s">
        <v>26</v>
      </c>
      <c r="M1390" s="1" t="s">
        <v>20</v>
      </c>
      <c r="N1390" s="1">
        <v>1.7</v>
      </c>
    </row>
    <row r="1391" spans="1:14" x14ac:dyDescent="0.3">
      <c r="A1391" s="1" t="s">
        <v>2804</v>
      </c>
      <c r="B1391" s="1" t="s">
        <v>2805</v>
      </c>
      <c r="C1391" s="1">
        <v>64</v>
      </c>
      <c r="D1391" s="1" t="s">
        <v>23</v>
      </c>
      <c r="E1391" s="1" t="s">
        <v>29</v>
      </c>
      <c r="F1391" s="1" t="s">
        <v>18</v>
      </c>
      <c r="G1391" s="9">
        <v>1158855.25</v>
      </c>
      <c r="H1391" s="1">
        <v>50069.36</v>
      </c>
      <c r="I1391" s="1">
        <v>715</v>
      </c>
      <c r="J1391" s="1">
        <v>156</v>
      </c>
      <c r="K1391" s="1">
        <v>229270</v>
      </c>
      <c r="L1391" s="1" t="s">
        <v>40</v>
      </c>
      <c r="M1391" s="1" t="s">
        <v>20</v>
      </c>
      <c r="N1391" s="1">
        <v>2.5</v>
      </c>
    </row>
    <row r="1392" spans="1:14" x14ac:dyDescent="0.3">
      <c r="A1392" s="1" t="s">
        <v>2806</v>
      </c>
      <c r="B1392" s="1" t="s">
        <v>2807</v>
      </c>
      <c r="C1392" s="1">
        <v>32</v>
      </c>
      <c r="D1392" s="1" t="s">
        <v>16</v>
      </c>
      <c r="E1392" s="1" t="s">
        <v>76</v>
      </c>
      <c r="F1392" s="1" t="s">
        <v>39</v>
      </c>
      <c r="G1392" s="9">
        <v>1051903.02</v>
      </c>
      <c r="H1392" s="1">
        <v>2373906.54</v>
      </c>
      <c r="I1392" s="1">
        <v>415</v>
      </c>
      <c r="J1392" s="1">
        <v>291</v>
      </c>
      <c r="K1392" s="1">
        <v>213201</v>
      </c>
      <c r="L1392" s="1" t="s">
        <v>40</v>
      </c>
      <c r="M1392" s="1" t="s">
        <v>20</v>
      </c>
      <c r="N1392" s="1">
        <v>2.9</v>
      </c>
    </row>
    <row r="1393" spans="1:14" x14ac:dyDescent="0.3">
      <c r="A1393" s="1" t="s">
        <v>2808</v>
      </c>
      <c r="B1393" s="1" t="s">
        <v>2809</v>
      </c>
      <c r="C1393" s="1">
        <v>33</v>
      </c>
      <c r="D1393" s="1" t="s">
        <v>16</v>
      </c>
      <c r="E1393" s="1" t="s">
        <v>48</v>
      </c>
      <c r="F1393" s="1" t="s">
        <v>18</v>
      </c>
      <c r="G1393" s="9">
        <v>765081.89</v>
      </c>
      <c r="H1393" s="1">
        <v>1517253.49</v>
      </c>
      <c r="I1393" s="1">
        <v>375</v>
      </c>
      <c r="J1393" s="1">
        <v>128</v>
      </c>
      <c r="K1393" s="1">
        <v>33305</v>
      </c>
      <c r="L1393" s="1" t="s">
        <v>26</v>
      </c>
      <c r="M1393" s="1" t="s">
        <v>33</v>
      </c>
      <c r="N1393" s="1">
        <v>3.2</v>
      </c>
    </row>
    <row r="1394" spans="1:14" x14ac:dyDescent="0.3">
      <c r="A1394" s="1" t="s">
        <v>2810</v>
      </c>
      <c r="B1394" s="1" t="s">
        <v>2811</v>
      </c>
      <c r="C1394" s="1">
        <v>39</v>
      </c>
      <c r="D1394" s="1" t="s">
        <v>16</v>
      </c>
      <c r="E1394" s="1" t="s">
        <v>38</v>
      </c>
      <c r="F1394" s="1" t="s">
        <v>39</v>
      </c>
      <c r="G1394" s="9">
        <v>208589.03</v>
      </c>
      <c r="H1394" s="1">
        <v>445775.15</v>
      </c>
      <c r="I1394" s="1">
        <v>737</v>
      </c>
      <c r="J1394" s="1">
        <v>256</v>
      </c>
      <c r="K1394" s="1">
        <v>163892</v>
      </c>
      <c r="L1394" s="1" t="s">
        <v>19</v>
      </c>
      <c r="M1394" s="1" t="s">
        <v>20</v>
      </c>
      <c r="N1394" s="1">
        <v>4.4000000000000004</v>
      </c>
    </row>
    <row r="1395" spans="1:14" x14ac:dyDescent="0.3">
      <c r="A1395" s="1" t="s">
        <v>2812</v>
      </c>
      <c r="B1395" s="1" t="s">
        <v>2813</v>
      </c>
      <c r="C1395" s="1">
        <v>57</v>
      </c>
      <c r="D1395" s="1" t="s">
        <v>23</v>
      </c>
      <c r="E1395" s="1" t="s">
        <v>45</v>
      </c>
      <c r="F1395" s="1" t="s">
        <v>39</v>
      </c>
      <c r="G1395" s="9">
        <v>111795.67</v>
      </c>
      <c r="H1395" s="1">
        <v>1802299.59</v>
      </c>
      <c r="I1395" s="1">
        <v>859</v>
      </c>
      <c r="J1395" s="1">
        <v>46</v>
      </c>
      <c r="K1395" s="1">
        <v>135958</v>
      </c>
      <c r="L1395" s="1" t="s">
        <v>26</v>
      </c>
      <c r="M1395" s="1" t="s">
        <v>33</v>
      </c>
      <c r="N1395" s="1">
        <v>4</v>
      </c>
    </row>
    <row r="1396" spans="1:14" x14ac:dyDescent="0.3">
      <c r="A1396" s="1" t="s">
        <v>2814</v>
      </c>
      <c r="B1396" s="1" t="s">
        <v>2815</v>
      </c>
      <c r="C1396" s="1">
        <v>19</v>
      </c>
      <c r="D1396" s="1" t="s">
        <v>16</v>
      </c>
      <c r="E1396" s="1" t="s">
        <v>29</v>
      </c>
      <c r="F1396" s="1" t="s">
        <v>81</v>
      </c>
      <c r="G1396" s="9">
        <v>1149391.77</v>
      </c>
      <c r="H1396" s="1">
        <v>1950118.9</v>
      </c>
      <c r="I1396" s="1">
        <v>324</v>
      </c>
      <c r="J1396" s="1">
        <v>446</v>
      </c>
      <c r="K1396" s="1">
        <v>28678</v>
      </c>
      <c r="L1396" s="1" t="s">
        <v>40</v>
      </c>
      <c r="M1396" s="1" t="s">
        <v>20</v>
      </c>
      <c r="N1396" s="1">
        <v>4.2</v>
      </c>
    </row>
    <row r="1397" spans="1:14" x14ac:dyDescent="0.3">
      <c r="A1397" s="1" t="s">
        <v>2816</v>
      </c>
      <c r="B1397" s="1" t="s">
        <v>2817</v>
      </c>
      <c r="C1397" s="1">
        <v>23</v>
      </c>
      <c r="D1397" s="1" t="s">
        <v>23</v>
      </c>
      <c r="E1397" s="1" t="s">
        <v>76</v>
      </c>
      <c r="F1397" s="1" t="s">
        <v>18</v>
      </c>
      <c r="G1397" s="9">
        <v>289680.92</v>
      </c>
      <c r="H1397" s="1">
        <v>2382721.64</v>
      </c>
      <c r="I1397" s="1">
        <v>400</v>
      </c>
      <c r="J1397" s="1">
        <v>229</v>
      </c>
      <c r="K1397" s="1">
        <v>200343</v>
      </c>
      <c r="L1397" s="1" t="s">
        <v>40</v>
      </c>
      <c r="M1397" s="1" t="s">
        <v>33</v>
      </c>
      <c r="N1397" s="1">
        <v>4.0999999999999996</v>
      </c>
    </row>
    <row r="1398" spans="1:14" x14ac:dyDescent="0.3">
      <c r="A1398" s="1" t="s">
        <v>2818</v>
      </c>
      <c r="B1398" s="1" t="s">
        <v>2819</v>
      </c>
      <c r="C1398" s="1">
        <v>38</v>
      </c>
      <c r="D1398" s="1" t="s">
        <v>23</v>
      </c>
      <c r="E1398" s="1" t="s">
        <v>55</v>
      </c>
      <c r="F1398" s="1" t="s">
        <v>39</v>
      </c>
      <c r="G1398" s="9">
        <v>1009906.95</v>
      </c>
      <c r="H1398" s="1">
        <v>1986723.91</v>
      </c>
      <c r="I1398" s="1">
        <v>816</v>
      </c>
      <c r="J1398" s="1">
        <v>335</v>
      </c>
      <c r="K1398" s="1">
        <v>119364</v>
      </c>
      <c r="L1398" s="1" t="s">
        <v>19</v>
      </c>
      <c r="M1398" s="1" t="s">
        <v>20</v>
      </c>
      <c r="N1398" s="1">
        <v>2.2000000000000002</v>
      </c>
    </row>
    <row r="1399" spans="1:14" x14ac:dyDescent="0.3">
      <c r="A1399" s="1" t="s">
        <v>2820</v>
      </c>
      <c r="B1399" s="1" t="s">
        <v>2821</v>
      </c>
      <c r="C1399" s="1">
        <v>56</v>
      </c>
      <c r="D1399" s="1" t="s">
        <v>16</v>
      </c>
      <c r="E1399" s="1" t="s">
        <v>38</v>
      </c>
      <c r="F1399" s="1" t="s">
        <v>39</v>
      </c>
      <c r="G1399" s="9">
        <v>866695.59</v>
      </c>
      <c r="H1399" s="1">
        <v>1191945.8500000001</v>
      </c>
      <c r="I1399" s="1">
        <v>802</v>
      </c>
      <c r="J1399" s="1">
        <v>272</v>
      </c>
      <c r="K1399" s="1">
        <v>195149</v>
      </c>
      <c r="L1399" s="1" t="s">
        <v>26</v>
      </c>
      <c r="M1399" s="1" t="s">
        <v>20</v>
      </c>
      <c r="N1399" s="1">
        <v>4.5999999999999996</v>
      </c>
    </row>
    <row r="1400" spans="1:14" x14ac:dyDescent="0.3">
      <c r="A1400" s="1" t="s">
        <v>2822</v>
      </c>
      <c r="B1400" s="1" t="s">
        <v>2823</v>
      </c>
      <c r="C1400" s="1">
        <v>38</v>
      </c>
      <c r="D1400" s="1" t="s">
        <v>16</v>
      </c>
      <c r="E1400" s="1" t="s">
        <v>76</v>
      </c>
      <c r="F1400" s="1" t="s">
        <v>81</v>
      </c>
      <c r="G1400" s="9">
        <v>705967.21</v>
      </c>
      <c r="H1400" s="1">
        <v>1267859.22</v>
      </c>
      <c r="I1400" s="1">
        <v>778</v>
      </c>
      <c r="J1400" s="1">
        <v>18</v>
      </c>
      <c r="K1400" s="1">
        <v>119469</v>
      </c>
      <c r="L1400" s="1" t="s">
        <v>40</v>
      </c>
      <c r="M1400" s="1" t="s">
        <v>33</v>
      </c>
      <c r="N1400" s="1">
        <v>1.2</v>
      </c>
    </row>
    <row r="1401" spans="1:14" x14ac:dyDescent="0.3">
      <c r="A1401" s="1" t="s">
        <v>2824</v>
      </c>
      <c r="B1401" s="1" t="s">
        <v>2825</v>
      </c>
      <c r="C1401" s="1">
        <v>40</v>
      </c>
      <c r="D1401" s="1" t="s">
        <v>23</v>
      </c>
      <c r="E1401" s="1" t="s">
        <v>17</v>
      </c>
      <c r="F1401" s="1" t="s">
        <v>18</v>
      </c>
      <c r="G1401" s="9">
        <v>515526.27</v>
      </c>
      <c r="H1401" s="1">
        <v>903666.85</v>
      </c>
      <c r="I1401" s="1">
        <v>828</v>
      </c>
      <c r="J1401" s="1">
        <v>145</v>
      </c>
      <c r="K1401" s="1">
        <v>186898</v>
      </c>
      <c r="L1401" s="1" t="s">
        <v>40</v>
      </c>
      <c r="M1401" s="1" t="s">
        <v>33</v>
      </c>
      <c r="N1401" s="1">
        <v>3.1</v>
      </c>
    </row>
    <row r="1402" spans="1:14" x14ac:dyDescent="0.3">
      <c r="A1402" s="1" t="s">
        <v>2826</v>
      </c>
      <c r="B1402" s="1" t="s">
        <v>401</v>
      </c>
      <c r="C1402" s="1">
        <v>27</v>
      </c>
      <c r="D1402" s="1" t="s">
        <v>23</v>
      </c>
      <c r="E1402" s="1" t="s">
        <v>55</v>
      </c>
      <c r="F1402" s="1" t="s">
        <v>39</v>
      </c>
      <c r="G1402" s="9">
        <v>407766.87</v>
      </c>
      <c r="H1402" s="1">
        <v>569611.88</v>
      </c>
      <c r="I1402" s="1">
        <v>629</v>
      </c>
      <c r="J1402" s="1">
        <v>194</v>
      </c>
      <c r="K1402" s="1">
        <v>229112</v>
      </c>
      <c r="L1402" s="1" t="s">
        <v>30</v>
      </c>
      <c r="M1402" s="1" t="s">
        <v>20</v>
      </c>
      <c r="N1402" s="1">
        <v>3.6</v>
      </c>
    </row>
    <row r="1403" spans="1:14" x14ac:dyDescent="0.3">
      <c r="A1403" s="1" t="s">
        <v>2827</v>
      </c>
      <c r="B1403" s="1" t="s">
        <v>2828</v>
      </c>
      <c r="C1403" s="1">
        <v>53</v>
      </c>
      <c r="D1403" s="1" t="s">
        <v>23</v>
      </c>
      <c r="E1403" s="1" t="s">
        <v>48</v>
      </c>
      <c r="F1403" s="1" t="s">
        <v>18</v>
      </c>
      <c r="G1403" s="9">
        <v>63867.11</v>
      </c>
      <c r="H1403" s="1">
        <v>1174423.06</v>
      </c>
      <c r="I1403" s="1">
        <v>716</v>
      </c>
      <c r="J1403" s="1">
        <v>111</v>
      </c>
      <c r="K1403" s="1">
        <v>207246</v>
      </c>
      <c r="L1403" s="1" t="s">
        <v>40</v>
      </c>
      <c r="M1403" s="1" t="s">
        <v>20</v>
      </c>
      <c r="N1403" s="1">
        <v>2</v>
      </c>
    </row>
    <row r="1404" spans="1:14" x14ac:dyDescent="0.3">
      <c r="A1404" s="1" t="s">
        <v>2829</v>
      </c>
      <c r="B1404" s="1" t="s">
        <v>2830</v>
      </c>
      <c r="C1404" s="1">
        <v>22</v>
      </c>
      <c r="D1404" s="1" t="s">
        <v>16</v>
      </c>
      <c r="E1404" s="1" t="s">
        <v>76</v>
      </c>
      <c r="F1404" s="1" t="s">
        <v>81</v>
      </c>
      <c r="G1404" s="9">
        <v>405376.98</v>
      </c>
      <c r="H1404" s="1">
        <v>117466.5</v>
      </c>
      <c r="I1404" s="1">
        <v>425</v>
      </c>
      <c r="J1404" s="1">
        <v>448</v>
      </c>
      <c r="K1404" s="1">
        <v>35915</v>
      </c>
      <c r="L1404" s="1" t="s">
        <v>26</v>
      </c>
      <c r="M1404" s="1" t="s">
        <v>20</v>
      </c>
      <c r="N1404" s="1">
        <v>2.6</v>
      </c>
    </row>
    <row r="1405" spans="1:14" x14ac:dyDescent="0.3">
      <c r="A1405" s="1" t="s">
        <v>2831</v>
      </c>
      <c r="B1405" s="1" t="s">
        <v>2832</v>
      </c>
      <c r="C1405" s="1">
        <v>53</v>
      </c>
      <c r="D1405" s="1" t="s">
        <v>16</v>
      </c>
      <c r="E1405" s="1" t="s">
        <v>29</v>
      </c>
      <c r="F1405" s="1" t="s">
        <v>25</v>
      </c>
      <c r="G1405" s="9">
        <v>750178.6</v>
      </c>
      <c r="H1405" s="1">
        <v>2327249.46</v>
      </c>
      <c r="I1405" s="1">
        <v>828</v>
      </c>
      <c r="J1405" s="1">
        <v>104</v>
      </c>
      <c r="K1405" s="1">
        <v>144162</v>
      </c>
      <c r="L1405" s="1" t="s">
        <v>26</v>
      </c>
      <c r="M1405" s="1" t="s">
        <v>20</v>
      </c>
      <c r="N1405" s="1">
        <v>2.5</v>
      </c>
    </row>
    <row r="1406" spans="1:14" x14ac:dyDescent="0.3">
      <c r="A1406" s="1" t="s">
        <v>2833</v>
      </c>
      <c r="B1406" s="1" t="s">
        <v>2834</v>
      </c>
      <c r="C1406" s="1">
        <v>27</v>
      </c>
      <c r="D1406" s="1" t="s">
        <v>23</v>
      </c>
      <c r="E1406" s="1" t="s">
        <v>17</v>
      </c>
      <c r="F1406" s="1" t="s">
        <v>81</v>
      </c>
      <c r="G1406" s="9">
        <v>102968.18</v>
      </c>
      <c r="H1406" s="1">
        <v>1741611.35</v>
      </c>
      <c r="I1406" s="1">
        <v>602</v>
      </c>
      <c r="J1406" s="1">
        <v>376</v>
      </c>
      <c r="K1406" s="1">
        <v>196422</v>
      </c>
      <c r="L1406" s="1" t="s">
        <v>40</v>
      </c>
      <c r="M1406" s="1" t="s">
        <v>20</v>
      </c>
      <c r="N1406" s="1">
        <v>1.7</v>
      </c>
    </row>
    <row r="1407" spans="1:14" x14ac:dyDescent="0.3">
      <c r="A1407" s="1" t="s">
        <v>2835</v>
      </c>
      <c r="B1407" s="1" t="s">
        <v>2836</v>
      </c>
      <c r="C1407" s="1">
        <v>33</v>
      </c>
      <c r="D1407" s="1" t="s">
        <v>23</v>
      </c>
      <c r="E1407" s="1" t="s">
        <v>55</v>
      </c>
      <c r="F1407" s="1" t="s">
        <v>18</v>
      </c>
      <c r="G1407" s="9">
        <v>1135936.79</v>
      </c>
      <c r="H1407" s="1">
        <v>326275.94</v>
      </c>
      <c r="I1407" s="1">
        <v>841</v>
      </c>
      <c r="J1407" s="1">
        <v>225</v>
      </c>
      <c r="K1407" s="1">
        <v>130047</v>
      </c>
      <c r="L1407" s="1" t="s">
        <v>30</v>
      </c>
      <c r="M1407" s="1" t="s">
        <v>20</v>
      </c>
      <c r="N1407" s="1">
        <v>1.9</v>
      </c>
    </row>
    <row r="1408" spans="1:14" x14ac:dyDescent="0.3">
      <c r="A1408" s="1" t="s">
        <v>2837</v>
      </c>
      <c r="B1408" s="1" t="s">
        <v>2838</v>
      </c>
      <c r="C1408" s="1">
        <v>70</v>
      </c>
      <c r="D1408" s="1" t="s">
        <v>23</v>
      </c>
      <c r="E1408" s="1" t="s">
        <v>55</v>
      </c>
      <c r="F1408" s="1" t="s">
        <v>18</v>
      </c>
      <c r="G1408" s="9">
        <v>440979.85</v>
      </c>
      <c r="H1408" s="1">
        <v>2455520.98</v>
      </c>
      <c r="I1408" s="1">
        <v>699</v>
      </c>
      <c r="J1408" s="1">
        <v>85</v>
      </c>
      <c r="K1408" s="1">
        <v>122284</v>
      </c>
      <c r="L1408" s="1" t="s">
        <v>40</v>
      </c>
      <c r="M1408" s="1" t="s">
        <v>33</v>
      </c>
      <c r="N1408" s="1">
        <v>2.4</v>
      </c>
    </row>
    <row r="1409" spans="1:14" x14ac:dyDescent="0.3">
      <c r="A1409" s="1" t="s">
        <v>2839</v>
      </c>
      <c r="B1409" s="1" t="s">
        <v>2840</v>
      </c>
      <c r="C1409" s="1">
        <v>68</v>
      </c>
      <c r="D1409" s="1" t="s">
        <v>16</v>
      </c>
      <c r="E1409" s="1" t="s">
        <v>76</v>
      </c>
      <c r="F1409" s="1" t="s">
        <v>18</v>
      </c>
      <c r="G1409" s="9">
        <v>1083080.57</v>
      </c>
      <c r="H1409" s="1">
        <v>922619.04</v>
      </c>
      <c r="I1409" s="1">
        <v>856</v>
      </c>
      <c r="J1409" s="1">
        <v>354</v>
      </c>
      <c r="K1409" s="1">
        <v>80051</v>
      </c>
      <c r="L1409" s="1" t="s">
        <v>30</v>
      </c>
      <c r="M1409" s="1" t="s">
        <v>33</v>
      </c>
      <c r="N1409" s="1">
        <v>1.7</v>
      </c>
    </row>
    <row r="1410" spans="1:14" x14ac:dyDescent="0.3">
      <c r="A1410" s="1" t="s">
        <v>2841</v>
      </c>
      <c r="B1410" s="1" t="s">
        <v>2842</v>
      </c>
      <c r="C1410" s="1">
        <v>37</v>
      </c>
      <c r="D1410" s="1" t="s">
        <v>16</v>
      </c>
      <c r="E1410" s="1" t="s">
        <v>24</v>
      </c>
      <c r="F1410" s="1" t="s">
        <v>18</v>
      </c>
      <c r="G1410" s="9">
        <v>1189180.19</v>
      </c>
      <c r="H1410" s="1">
        <v>2157710.46</v>
      </c>
      <c r="I1410" s="1">
        <v>825</v>
      </c>
      <c r="J1410" s="1">
        <v>299</v>
      </c>
      <c r="K1410" s="1">
        <v>127791</v>
      </c>
      <c r="L1410" s="1" t="s">
        <v>26</v>
      </c>
      <c r="M1410" s="1" t="s">
        <v>20</v>
      </c>
      <c r="N1410" s="1">
        <v>4.8</v>
      </c>
    </row>
    <row r="1411" spans="1:14" x14ac:dyDescent="0.3">
      <c r="A1411" s="1" t="s">
        <v>2843</v>
      </c>
      <c r="B1411" s="1" t="s">
        <v>2844</v>
      </c>
      <c r="C1411" s="1">
        <v>53</v>
      </c>
      <c r="D1411" s="1" t="s">
        <v>16</v>
      </c>
      <c r="E1411" s="1" t="s">
        <v>45</v>
      </c>
      <c r="F1411" s="1" t="s">
        <v>18</v>
      </c>
      <c r="G1411" s="9">
        <v>753949.9</v>
      </c>
      <c r="H1411" s="1">
        <v>446136.57</v>
      </c>
      <c r="I1411" s="1">
        <v>582</v>
      </c>
      <c r="J1411" s="1">
        <v>174</v>
      </c>
      <c r="K1411" s="1">
        <v>202820</v>
      </c>
      <c r="L1411" s="1" t="s">
        <v>26</v>
      </c>
      <c r="M1411" s="1" t="s">
        <v>20</v>
      </c>
      <c r="N1411" s="1">
        <v>3.9</v>
      </c>
    </row>
    <row r="1412" spans="1:14" x14ac:dyDescent="0.3">
      <c r="A1412" s="1" t="s">
        <v>2845</v>
      </c>
      <c r="B1412" s="1" t="s">
        <v>2846</v>
      </c>
      <c r="C1412" s="1">
        <v>36</v>
      </c>
      <c r="D1412" s="1" t="s">
        <v>16</v>
      </c>
      <c r="E1412" s="1" t="s">
        <v>24</v>
      </c>
      <c r="F1412" s="1" t="s">
        <v>81</v>
      </c>
      <c r="G1412" s="9">
        <v>960426.52</v>
      </c>
      <c r="H1412" s="1">
        <v>2482815.0699999998</v>
      </c>
      <c r="I1412" s="1">
        <v>598</v>
      </c>
      <c r="J1412" s="1">
        <v>127</v>
      </c>
      <c r="K1412" s="1">
        <v>200047</v>
      </c>
      <c r="L1412" s="1" t="s">
        <v>40</v>
      </c>
      <c r="M1412" s="1" t="s">
        <v>33</v>
      </c>
      <c r="N1412" s="1">
        <v>1.8</v>
      </c>
    </row>
    <row r="1413" spans="1:14" x14ac:dyDescent="0.3">
      <c r="A1413" s="1" t="s">
        <v>2847</v>
      </c>
      <c r="B1413" s="1" t="s">
        <v>2848</v>
      </c>
      <c r="C1413" s="1">
        <v>55</v>
      </c>
      <c r="D1413" s="1" t="s">
        <v>16</v>
      </c>
      <c r="E1413" s="1" t="s">
        <v>29</v>
      </c>
      <c r="F1413" s="1" t="s">
        <v>18</v>
      </c>
      <c r="G1413" s="9">
        <v>1325802.97</v>
      </c>
      <c r="H1413" s="1">
        <v>305451.05</v>
      </c>
      <c r="I1413" s="1">
        <v>527</v>
      </c>
      <c r="J1413" s="1">
        <v>418</v>
      </c>
      <c r="K1413" s="1">
        <v>102594</v>
      </c>
      <c r="L1413" s="1" t="s">
        <v>30</v>
      </c>
      <c r="M1413" s="1" t="s">
        <v>33</v>
      </c>
      <c r="N1413" s="1">
        <v>1.6</v>
      </c>
    </row>
    <row r="1414" spans="1:14" x14ac:dyDescent="0.3">
      <c r="A1414" s="1" t="s">
        <v>2849</v>
      </c>
      <c r="B1414" s="1" t="s">
        <v>2850</v>
      </c>
      <c r="C1414" s="1">
        <v>64</v>
      </c>
      <c r="D1414" s="1" t="s">
        <v>16</v>
      </c>
      <c r="E1414" s="1" t="s">
        <v>45</v>
      </c>
      <c r="F1414" s="1" t="s">
        <v>39</v>
      </c>
      <c r="G1414" s="9">
        <v>190049.31</v>
      </c>
      <c r="H1414" s="1">
        <v>120825.83</v>
      </c>
      <c r="I1414" s="1">
        <v>503</v>
      </c>
      <c r="J1414" s="1">
        <v>128</v>
      </c>
      <c r="K1414" s="1">
        <v>226405</v>
      </c>
      <c r="L1414" s="1" t="s">
        <v>40</v>
      </c>
      <c r="M1414" s="1" t="s">
        <v>33</v>
      </c>
      <c r="N1414" s="1">
        <v>3.4</v>
      </c>
    </row>
    <row r="1415" spans="1:14" x14ac:dyDescent="0.3">
      <c r="A1415" s="1" t="s">
        <v>2851</v>
      </c>
      <c r="B1415" s="1" t="s">
        <v>2852</v>
      </c>
      <c r="C1415" s="1">
        <v>59</v>
      </c>
      <c r="D1415" s="1" t="s">
        <v>16</v>
      </c>
      <c r="E1415" s="1" t="s">
        <v>29</v>
      </c>
      <c r="F1415" s="1" t="s">
        <v>25</v>
      </c>
      <c r="G1415" s="9">
        <v>1499168.15</v>
      </c>
      <c r="H1415" s="1">
        <v>98027.86</v>
      </c>
      <c r="I1415" s="1">
        <v>716</v>
      </c>
      <c r="J1415" s="1">
        <v>442</v>
      </c>
      <c r="K1415" s="1">
        <v>104677</v>
      </c>
      <c r="L1415" s="1" t="s">
        <v>26</v>
      </c>
      <c r="M1415" s="1" t="s">
        <v>33</v>
      </c>
      <c r="N1415" s="1">
        <v>1.1000000000000001</v>
      </c>
    </row>
    <row r="1416" spans="1:14" x14ac:dyDescent="0.3">
      <c r="A1416" s="1" t="s">
        <v>2853</v>
      </c>
      <c r="B1416" s="1" t="s">
        <v>2854</v>
      </c>
      <c r="C1416" s="1">
        <v>24</v>
      </c>
      <c r="D1416" s="1" t="s">
        <v>16</v>
      </c>
      <c r="E1416" s="1" t="s">
        <v>76</v>
      </c>
      <c r="F1416" s="1" t="s">
        <v>39</v>
      </c>
      <c r="G1416" s="9">
        <v>1441306.21</v>
      </c>
      <c r="H1416" s="1">
        <v>2145946.15</v>
      </c>
      <c r="I1416" s="1">
        <v>865</v>
      </c>
      <c r="J1416" s="1">
        <v>373</v>
      </c>
      <c r="K1416" s="1">
        <v>141035</v>
      </c>
      <c r="L1416" s="1" t="s">
        <v>40</v>
      </c>
      <c r="M1416" s="1" t="s">
        <v>20</v>
      </c>
      <c r="N1416" s="1">
        <v>4.5</v>
      </c>
    </row>
    <row r="1417" spans="1:14" x14ac:dyDescent="0.3">
      <c r="A1417" s="1" t="s">
        <v>2855</v>
      </c>
      <c r="B1417" s="1" t="s">
        <v>2856</v>
      </c>
      <c r="C1417" s="1">
        <v>69</v>
      </c>
      <c r="D1417" s="1" t="s">
        <v>16</v>
      </c>
      <c r="E1417" s="1" t="s">
        <v>24</v>
      </c>
      <c r="F1417" s="1" t="s">
        <v>25</v>
      </c>
      <c r="G1417" s="9">
        <v>881204.97</v>
      </c>
      <c r="H1417" s="1">
        <v>836471.2</v>
      </c>
      <c r="I1417" s="1">
        <v>724</v>
      </c>
      <c r="J1417" s="1">
        <v>62</v>
      </c>
      <c r="K1417" s="1">
        <v>27706</v>
      </c>
      <c r="L1417" s="1" t="s">
        <v>26</v>
      </c>
      <c r="M1417" s="1" t="s">
        <v>33</v>
      </c>
      <c r="N1417" s="1">
        <v>3.2</v>
      </c>
    </row>
    <row r="1418" spans="1:14" x14ac:dyDescent="0.3">
      <c r="A1418" s="1" t="s">
        <v>2857</v>
      </c>
      <c r="B1418" s="1" t="s">
        <v>2858</v>
      </c>
      <c r="C1418" s="1">
        <v>58</v>
      </c>
      <c r="D1418" s="1" t="s">
        <v>23</v>
      </c>
      <c r="E1418" s="1" t="s">
        <v>76</v>
      </c>
      <c r="F1418" s="1" t="s">
        <v>39</v>
      </c>
      <c r="G1418" s="9">
        <v>748540.73</v>
      </c>
      <c r="H1418" s="1">
        <v>1823152.89</v>
      </c>
      <c r="I1418" s="1">
        <v>422</v>
      </c>
      <c r="J1418" s="1">
        <v>496</v>
      </c>
      <c r="K1418" s="1">
        <v>204244</v>
      </c>
      <c r="L1418" s="1" t="s">
        <v>30</v>
      </c>
      <c r="M1418" s="1" t="s">
        <v>33</v>
      </c>
      <c r="N1418" s="1">
        <v>3.9</v>
      </c>
    </row>
    <row r="1419" spans="1:14" x14ac:dyDescent="0.3">
      <c r="A1419" s="1" t="s">
        <v>2859</v>
      </c>
      <c r="B1419" s="1" t="s">
        <v>2860</v>
      </c>
      <c r="C1419" s="1">
        <v>57</v>
      </c>
      <c r="D1419" s="1" t="s">
        <v>16</v>
      </c>
      <c r="E1419" s="1" t="s">
        <v>55</v>
      </c>
      <c r="F1419" s="1" t="s">
        <v>18</v>
      </c>
      <c r="G1419" s="9">
        <v>521959.89</v>
      </c>
      <c r="H1419" s="1">
        <v>2214709.86</v>
      </c>
      <c r="I1419" s="1">
        <v>378</v>
      </c>
      <c r="J1419" s="1">
        <v>164</v>
      </c>
      <c r="K1419" s="1">
        <v>227639</v>
      </c>
      <c r="L1419" s="1" t="s">
        <v>26</v>
      </c>
      <c r="M1419" s="1" t="s">
        <v>20</v>
      </c>
      <c r="N1419" s="1">
        <v>3.4</v>
      </c>
    </row>
    <row r="1420" spans="1:14" x14ac:dyDescent="0.3">
      <c r="A1420" s="1" t="s">
        <v>2861</v>
      </c>
      <c r="B1420" s="1" t="s">
        <v>2862</v>
      </c>
      <c r="C1420" s="1">
        <v>32</v>
      </c>
      <c r="D1420" s="1" t="s">
        <v>23</v>
      </c>
      <c r="E1420" s="1" t="s">
        <v>24</v>
      </c>
      <c r="F1420" s="1" t="s">
        <v>39</v>
      </c>
      <c r="G1420" s="9">
        <v>797183.34</v>
      </c>
      <c r="H1420" s="1">
        <v>857375.73</v>
      </c>
      <c r="I1420" s="1">
        <v>327</v>
      </c>
      <c r="J1420" s="1">
        <v>305</v>
      </c>
      <c r="K1420" s="1">
        <v>124071</v>
      </c>
      <c r="L1420" s="1" t="s">
        <v>40</v>
      </c>
      <c r="M1420" s="1" t="s">
        <v>20</v>
      </c>
      <c r="N1420" s="1">
        <v>1.6</v>
      </c>
    </row>
    <row r="1421" spans="1:14" x14ac:dyDescent="0.3">
      <c r="A1421" s="1" t="s">
        <v>2863</v>
      </c>
      <c r="B1421" s="1" t="s">
        <v>2864</v>
      </c>
      <c r="C1421" s="1">
        <v>56</v>
      </c>
      <c r="D1421" s="1" t="s">
        <v>23</v>
      </c>
      <c r="E1421" s="1" t="s">
        <v>29</v>
      </c>
      <c r="F1421" s="1" t="s">
        <v>18</v>
      </c>
      <c r="G1421" s="9">
        <v>761249.62</v>
      </c>
      <c r="H1421" s="1">
        <v>183753.88</v>
      </c>
      <c r="I1421" s="1">
        <v>762</v>
      </c>
      <c r="J1421" s="1">
        <v>145</v>
      </c>
      <c r="K1421" s="1">
        <v>177801</v>
      </c>
      <c r="L1421" s="1" t="s">
        <v>26</v>
      </c>
      <c r="M1421" s="1" t="s">
        <v>20</v>
      </c>
      <c r="N1421" s="1">
        <v>2.2999999999999998</v>
      </c>
    </row>
    <row r="1422" spans="1:14" x14ac:dyDescent="0.3">
      <c r="A1422" s="1" t="s">
        <v>2865</v>
      </c>
      <c r="B1422" s="1" t="s">
        <v>2866</v>
      </c>
      <c r="C1422" s="1">
        <v>62</v>
      </c>
      <c r="D1422" s="1" t="s">
        <v>16</v>
      </c>
      <c r="E1422" s="1" t="s">
        <v>48</v>
      </c>
      <c r="F1422" s="1" t="s">
        <v>18</v>
      </c>
      <c r="G1422" s="9">
        <v>1286629.53</v>
      </c>
      <c r="H1422" s="1">
        <v>734870.96</v>
      </c>
      <c r="I1422" s="1">
        <v>832</v>
      </c>
      <c r="J1422" s="1">
        <v>279</v>
      </c>
      <c r="K1422" s="1">
        <v>215563</v>
      </c>
      <c r="L1422" s="1" t="s">
        <v>26</v>
      </c>
      <c r="M1422" s="1" t="s">
        <v>20</v>
      </c>
      <c r="N1422" s="1">
        <v>2.6</v>
      </c>
    </row>
    <row r="1423" spans="1:14" x14ac:dyDescent="0.3">
      <c r="A1423" s="1" t="s">
        <v>2867</v>
      </c>
      <c r="B1423" s="1" t="s">
        <v>2868</v>
      </c>
      <c r="C1423" s="1">
        <v>49</v>
      </c>
      <c r="D1423" s="1" t="s">
        <v>16</v>
      </c>
      <c r="E1423" s="1" t="s">
        <v>38</v>
      </c>
      <c r="F1423" s="1" t="s">
        <v>25</v>
      </c>
      <c r="G1423" s="9">
        <v>645860.93999999994</v>
      </c>
      <c r="H1423" s="1">
        <v>2415719.7200000002</v>
      </c>
      <c r="I1423" s="1">
        <v>347</v>
      </c>
      <c r="J1423" s="1">
        <v>270</v>
      </c>
      <c r="K1423" s="1">
        <v>123677</v>
      </c>
      <c r="L1423" s="1" t="s">
        <v>19</v>
      </c>
      <c r="M1423" s="1" t="s">
        <v>20</v>
      </c>
      <c r="N1423" s="1">
        <v>3.8</v>
      </c>
    </row>
    <row r="1424" spans="1:14" x14ac:dyDescent="0.3">
      <c r="A1424" s="1" t="s">
        <v>2869</v>
      </c>
      <c r="B1424" s="1" t="s">
        <v>2870</v>
      </c>
      <c r="C1424" s="1">
        <v>30</v>
      </c>
      <c r="D1424" s="1" t="s">
        <v>16</v>
      </c>
      <c r="E1424" s="1" t="s">
        <v>76</v>
      </c>
      <c r="F1424" s="1" t="s">
        <v>25</v>
      </c>
      <c r="G1424" s="9">
        <v>1485436.1</v>
      </c>
      <c r="H1424" s="1">
        <v>1300641.4099999999</v>
      </c>
      <c r="I1424" s="1">
        <v>508</v>
      </c>
      <c r="J1424" s="1">
        <v>189</v>
      </c>
      <c r="K1424" s="1">
        <v>249331</v>
      </c>
      <c r="L1424" s="1" t="s">
        <v>40</v>
      </c>
      <c r="M1424" s="1" t="s">
        <v>33</v>
      </c>
      <c r="N1424" s="1">
        <v>2.6</v>
      </c>
    </row>
    <row r="1425" spans="1:14" x14ac:dyDescent="0.3">
      <c r="A1425" s="1" t="s">
        <v>2871</v>
      </c>
      <c r="B1425" s="1" t="s">
        <v>2872</v>
      </c>
      <c r="C1425" s="1">
        <v>22</v>
      </c>
      <c r="D1425" s="1" t="s">
        <v>23</v>
      </c>
      <c r="E1425" s="1" t="s">
        <v>48</v>
      </c>
      <c r="F1425" s="1" t="s">
        <v>18</v>
      </c>
      <c r="G1425" s="9">
        <v>1410762.31</v>
      </c>
      <c r="H1425" s="1">
        <v>532133.62</v>
      </c>
      <c r="I1425" s="1">
        <v>479</v>
      </c>
      <c r="J1425" s="1">
        <v>398</v>
      </c>
      <c r="K1425" s="1">
        <v>103985</v>
      </c>
      <c r="L1425" s="1" t="s">
        <v>30</v>
      </c>
      <c r="M1425" s="1" t="s">
        <v>20</v>
      </c>
      <c r="N1425" s="1">
        <v>1.9</v>
      </c>
    </row>
    <row r="1426" spans="1:14" x14ac:dyDescent="0.3">
      <c r="A1426" s="1" t="s">
        <v>2873</v>
      </c>
      <c r="B1426" s="1" t="s">
        <v>2874</v>
      </c>
      <c r="C1426" s="1">
        <v>45</v>
      </c>
      <c r="D1426" s="1" t="s">
        <v>16</v>
      </c>
      <c r="E1426" s="1" t="s">
        <v>24</v>
      </c>
      <c r="F1426" s="1" t="s">
        <v>81</v>
      </c>
      <c r="G1426" s="9">
        <v>167616.65</v>
      </c>
      <c r="H1426" s="1">
        <v>1565945.72</v>
      </c>
      <c r="I1426" s="1">
        <v>796</v>
      </c>
      <c r="J1426" s="1">
        <v>222</v>
      </c>
      <c r="K1426" s="1">
        <v>169957</v>
      </c>
      <c r="L1426" s="1" t="s">
        <v>26</v>
      </c>
      <c r="M1426" s="1" t="s">
        <v>20</v>
      </c>
      <c r="N1426" s="1">
        <v>4.0999999999999996</v>
      </c>
    </row>
    <row r="1427" spans="1:14" x14ac:dyDescent="0.3">
      <c r="A1427" s="1" t="s">
        <v>2875</v>
      </c>
      <c r="B1427" s="1" t="s">
        <v>2876</v>
      </c>
      <c r="C1427" s="1">
        <v>25</v>
      </c>
      <c r="D1427" s="1" t="s">
        <v>23</v>
      </c>
      <c r="E1427" s="1" t="s">
        <v>55</v>
      </c>
      <c r="F1427" s="1" t="s">
        <v>39</v>
      </c>
      <c r="G1427" s="9">
        <v>459489.26</v>
      </c>
      <c r="H1427" s="1">
        <v>1386326.79</v>
      </c>
      <c r="I1427" s="1">
        <v>840</v>
      </c>
      <c r="J1427" s="1">
        <v>234</v>
      </c>
      <c r="K1427" s="1">
        <v>83465</v>
      </c>
      <c r="L1427" s="1" t="s">
        <v>30</v>
      </c>
      <c r="M1427" s="1" t="s">
        <v>20</v>
      </c>
      <c r="N1427" s="1">
        <v>4.0999999999999996</v>
      </c>
    </row>
    <row r="1428" spans="1:14" x14ac:dyDescent="0.3">
      <c r="A1428" s="1" t="s">
        <v>2877</v>
      </c>
      <c r="B1428" s="1" t="s">
        <v>2878</v>
      </c>
      <c r="C1428" s="1">
        <v>44</v>
      </c>
      <c r="D1428" s="1" t="s">
        <v>23</v>
      </c>
      <c r="E1428" s="1" t="s">
        <v>45</v>
      </c>
      <c r="F1428" s="1" t="s">
        <v>18</v>
      </c>
      <c r="G1428" s="9">
        <v>321881.32</v>
      </c>
      <c r="H1428" s="1">
        <v>1612838.94</v>
      </c>
      <c r="I1428" s="1">
        <v>427</v>
      </c>
      <c r="J1428" s="1">
        <v>32</v>
      </c>
      <c r="K1428" s="1">
        <v>32090</v>
      </c>
      <c r="L1428" s="1" t="s">
        <v>19</v>
      </c>
      <c r="M1428" s="1" t="s">
        <v>33</v>
      </c>
      <c r="N1428" s="1">
        <v>1.4</v>
      </c>
    </row>
    <row r="1429" spans="1:14" x14ac:dyDescent="0.3">
      <c r="A1429" s="1" t="s">
        <v>2879</v>
      </c>
      <c r="B1429" s="1" t="s">
        <v>2880</v>
      </c>
      <c r="C1429" s="1">
        <v>54</v>
      </c>
      <c r="D1429" s="1" t="s">
        <v>16</v>
      </c>
      <c r="E1429" s="1" t="s">
        <v>45</v>
      </c>
      <c r="F1429" s="1" t="s">
        <v>81</v>
      </c>
      <c r="G1429" s="9">
        <v>1062783.0900000001</v>
      </c>
      <c r="H1429" s="1">
        <v>2008216.31</v>
      </c>
      <c r="I1429" s="1">
        <v>592</v>
      </c>
      <c r="J1429" s="1">
        <v>298</v>
      </c>
      <c r="K1429" s="1">
        <v>172264</v>
      </c>
      <c r="L1429" s="1" t="s">
        <v>40</v>
      </c>
      <c r="M1429" s="1" t="s">
        <v>33</v>
      </c>
      <c r="N1429" s="1">
        <v>1.7</v>
      </c>
    </row>
    <row r="1430" spans="1:14" x14ac:dyDescent="0.3">
      <c r="A1430" s="1" t="s">
        <v>2881</v>
      </c>
      <c r="B1430" s="1" t="s">
        <v>2882</v>
      </c>
      <c r="C1430" s="1">
        <v>66</v>
      </c>
      <c r="D1430" s="1" t="s">
        <v>23</v>
      </c>
      <c r="E1430" s="1" t="s">
        <v>55</v>
      </c>
      <c r="F1430" s="1" t="s">
        <v>25</v>
      </c>
      <c r="G1430" s="9">
        <v>1060711.6499999999</v>
      </c>
      <c r="H1430" s="1">
        <v>1559438.93</v>
      </c>
      <c r="I1430" s="1">
        <v>730</v>
      </c>
      <c r="J1430" s="1">
        <v>397</v>
      </c>
      <c r="K1430" s="1">
        <v>176722</v>
      </c>
      <c r="L1430" s="1" t="s">
        <v>19</v>
      </c>
      <c r="M1430" s="1" t="s">
        <v>33</v>
      </c>
      <c r="N1430" s="1">
        <v>3.5</v>
      </c>
    </row>
    <row r="1431" spans="1:14" x14ac:dyDescent="0.3">
      <c r="A1431" s="1" t="s">
        <v>2883</v>
      </c>
      <c r="B1431" s="1" t="s">
        <v>2884</v>
      </c>
      <c r="C1431" s="1">
        <v>27</v>
      </c>
      <c r="D1431" s="1" t="s">
        <v>16</v>
      </c>
      <c r="E1431" s="1" t="s">
        <v>55</v>
      </c>
      <c r="F1431" s="1" t="s">
        <v>18</v>
      </c>
      <c r="G1431" s="9">
        <v>1176378.49</v>
      </c>
      <c r="H1431" s="1">
        <v>1448198.96</v>
      </c>
      <c r="I1431" s="1">
        <v>882</v>
      </c>
      <c r="J1431" s="1">
        <v>132</v>
      </c>
      <c r="K1431" s="1">
        <v>160316</v>
      </c>
      <c r="L1431" s="1" t="s">
        <v>26</v>
      </c>
      <c r="M1431" s="1" t="s">
        <v>20</v>
      </c>
      <c r="N1431" s="1">
        <v>1.6</v>
      </c>
    </row>
    <row r="1432" spans="1:14" x14ac:dyDescent="0.3">
      <c r="A1432" s="1" t="s">
        <v>2885</v>
      </c>
      <c r="B1432" s="1" t="s">
        <v>2886</v>
      </c>
      <c r="C1432" s="1">
        <v>29</v>
      </c>
      <c r="D1432" s="1" t="s">
        <v>23</v>
      </c>
      <c r="E1432" s="1" t="s">
        <v>17</v>
      </c>
      <c r="F1432" s="1" t="s">
        <v>18</v>
      </c>
      <c r="G1432" s="9">
        <v>166990.53</v>
      </c>
      <c r="H1432" s="1">
        <v>2097965.94</v>
      </c>
      <c r="I1432" s="1">
        <v>528</v>
      </c>
      <c r="J1432" s="1">
        <v>155</v>
      </c>
      <c r="K1432" s="1">
        <v>69905</v>
      </c>
      <c r="L1432" s="1" t="s">
        <v>30</v>
      </c>
      <c r="M1432" s="1" t="s">
        <v>20</v>
      </c>
      <c r="N1432" s="1">
        <v>4.0999999999999996</v>
      </c>
    </row>
    <row r="1433" spans="1:14" x14ac:dyDescent="0.3">
      <c r="A1433" s="1" t="s">
        <v>2887</v>
      </c>
      <c r="B1433" s="1" t="s">
        <v>2888</v>
      </c>
      <c r="C1433" s="1">
        <v>53</v>
      </c>
      <c r="D1433" s="1" t="s">
        <v>16</v>
      </c>
      <c r="E1433" s="1" t="s">
        <v>45</v>
      </c>
      <c r="F1433" s="1" t="s">
        <v>39</v>
      </c>
      <c r="G1433" s="9">
        <v>236726.22</v>
      </c>
      <c r="H1433" s="1">
        <v>1600598.68</v>
      </c>
      <c r="I1433" s="1">
        <v>768</v>
      </c>
      <c r="J1433" s="1">
        <v>396</v>
      </c>
      <c r="K1433" s="1">
        <v>143988</v>
      </c>
      <c r="L1433" s="1" t="s">
        <v>40</v>
      </c>
      <c r="M1433" s="1" t="s">
        <v>33</v>
      </c>
      <c r="N1433" s="1">
        <v>2.7</v>
      </c>
    </row>
    <row r="1434" spans="1:14" x14ac:dyDescent="0.3">
      <c r="A1434" s="1" t="s">
        <v>2889</v>
      </c>
      <c r="B1434" s="1" t="s">
        <v>2890</v>
      </c>
      <c r="C1434" s="1">
        <v>53</v>
      </c>
      <c r="D1434" s="1" t="s">
        <v>23</v>
      </c>
      <c r="E1434" s="1" t="s">
        <v>24</v>
      </c>
      <c r="F1434" s="1" t="s">
        <v>39</v>
      </c>
      <c r="G1434" s="9">
        <v>346024.98</v>
      </c>
      <c r="H1434" s="1">
        <v>1516827.68</v>
      </c>
      <c r="I1434" s="1">
        <v>633</v>
      </c>
      <c r="J1434" s="1">
        <v>348</v>
      </c>
      <c r="K1434" s="1">
        <v>209897</v>
      </c>
      <c r="L1434" s="1" t="s">
        <v>19</v>
      </c>
      <c r="M1434" s="1" t="s">
        <v>33</v>
      </c>
      <c r="N1434" s="1">
        <v>3.7</v>
      </c>
    </row>
    <row r="1435" spans="1:14" x14ac:dyDescent="0.3">
      <c r="A1435" s="1" t="s">
        <v>2891</v>
      </c>
      <c r="B1435" s="1" t="s">
        <v>2892</v>
      </c>
      <c r="C1435" s="1">
        <v>70</v>
      </c>
      <c r="D1435" s="1" t="s">
        <v>23</v>
      </c>
      <c r="E1435" s="1" t="s">
        <v>48</v>
      </c>
      <c r="F1435" s="1" t="s">
        <v>18</v>
      </c>
      <c r="G1435" s="9">
        <v>1346389.94</v>
      </c>
      <c r="H1435" s="1">
        <v>2400051.34</v>
      </c>
      <c r="I1435" s="1">
        <v>420</v>
      </c>
      <c r="J1435" s="1">
        <v>77</v>
      </c>
      <c r="K1435" s="1">
        <v>20805</v>
      </c>
      <c r="L1435" s="1" t="s">
        <v>40</v>
      </c>
      <c r="M1435" s="1" t="s">
        <v>33</v>
      </c>
      <c r="N1435" s="1">
        <v>4.5999999999999996</v>
      </c>
    </row>
    <row r="1436" spans="1:14" x14ac:dyDescent="0.3">
      <c r="A1436" s="1" t="s">
        <v>2893</v>
      </c>
      <c r="B1436" s="1" t="s">
        <v>2894</v>
      </c>
      <c r="C1436" s="1">
        <v>55</v>
      </c>
      <c r="D1436" s="1" t="s">
        <v>23</v>
      </c>
      <c r="E1436" s="1" t="s">
        <v>17</v>
      </c>
      <c r="F1436" s="1" t="s">
        <v>81</v>
      </c>
      <c r="G1436" s="9">
        <v>541289.68000000005</v>
      </c>
      <c r="H1436" s="1">
        <v>1691385.47</v>
      </c>
      <c r="I1436" s="1">
        <v>744</v>
      </c>
      <c r="J1436" s="1">
        <v>343</v>
      </c>
      <c r="K1436" s="1">
        <v>220043</v>
      </c>
      <c r="L1436" s="1" t="s">
        <v>30</v>
      </c>
      <c r="M1436" s="1" t="s">
        <v>20</v>
      </c>
      <c r="N1436" s="1">
        <v>2.1</v>
      </c>
    </row>
    <row r="1437" spans="1:14" x14ac:dyDescent="0.3">
      <c r="A1437" s="1" t="s">
        <v>2895</v>
      </c>
      <c r="B1437" s="1" t="s">
        <v>2896</v>
      </c>
      <c r="C1437" s="1">
        <v>31</v>
      </c>
      <c r="D1437" s="1" t="s">
        <v>16</v>
      </c>
      <c r="E1437" s="1" t="s">
        <v>24</v>
      </c>
      <c r="F1437" s="1" t="s">
        <v>81</v>
      </c>
      <c r="G1437" s="9">
        <v>844882.12</v>
      </c>
      <c r="H1437" s="1">
        <v>2021855.35</v>
      </c>
      <c r="I1437" s="1">
        <v>400</v>
      </c>
      <c r="J1437" s="1">
        <v>349</v>
      </c>
      <c r="K1437" s="1">
        <v>23914</v>
      </c>
      <c r="L1437" s="1" t="s">
        <v>26</v>
      </c>
      <c r="M1437" s="1" t="s">
        <v>20</v>
      </c>
      <c r="N1437" s="1">
        <v>4.3</v>
      </c>
    </row>
    <row r="1438" spans="1:14" x14ac:dyDescent="0.3">
      <c r="A1438" s="1" t="s">
        <v>2897</v>
      </c>
      <c r="B1438" s="1" t="s">
        <v>2898</v>
      </c>
      <c r="C1438" s="1">
        <v>34</v>
      </c>
      <c r="D1438" s="1" t="s">
        <v>23</v>
      </c>
      <c r="E1438" s="1" t="s">
        <v>55</v>
      </c>
      <c r="F1438" s="1" t="s">
        <v>18</v>
      </c>
      <c r="G1438" s="9">
        <v>292101.15000000002</v>
      </c>
      <c r="H1438" s="1">
        <v>667617.65</v>
      </c>
      <c r="I1438" s="1">
        <v>854</v>
      </c>
      <c r="J1438" s="1">
        <v>81</v>
      </c>
      <c r="K1438" s="1">
        <v>241068</v>
      </c>
      <c r="L1438" s="1" t="s">
        <v>19</v>
      </c>
      <c r="M1438" s="1" t="s">
        <v>20</v>
      </c>
      <c r="N1438" s="1">
        <v>2</v>
      </c>
    </row>
    <row r="1439" spans="1:14" x14ac:dyDescent="0.3">
      <c r="A1439" s="1" t="s">
        <v>2899</v>
      </c>
      <c r="B1439" s="1" t="s">
        <v>2900</v>
      </c>
      <c r="C1439" s="1">
        <v>48</v>
      </c>
      <c r="D1439" s="1" t="s">
        <v>23</v>
      </c>
      <c r="E1439" s="1" t="s">
        <v>29</v>
      </c>
      <c r="F1439" s="1" t="s">
        <v>18</v>
      </c>
      <c r="G1439" s="9">
        <v>339483.35</v>
      </c>
      <c r="H1439" s="1">
        <v>16283.33</v>
      </c>
      <c r="I1439" s="1">
        <v>826</v>
      </c>
      <c r="J1439" s="1">
        <v>227</v>
      </c>
      <c r="K1439" s="1">
        <v>217219</v>
      </c>
      <c r="L1439" s="1" t="s">
        <v>19</v>
      </c>
      <c r="M1439" s="1" t="s">
        <v>33</v>
      </c>
      <c r="N1439" s="1">
        <v>3.4</v>
      </c>
    </row>
    <row r="1440" spans="1:14" x14ac:dyDescent="0.3">
      <c r="A1440" s="1" t="s">
        <v>2901</v>
      </c>
      <c r="B1440" s="1" t="s">
        <v>2902</v>
      </c>
      <c r="C1440" s="1">
        <v>50</v>
      </c>
      <c r="D1440" s="1" t="s">
        <v>16</v>
      </c>
      <c r="E1440" s="1" t="s">
        <v>76</v>
      </c>
      <c r="F1440" s="1" t="s">
        <v>18</v>
      </c>
      <c r="G1440" s="9">
        <v>117209.83</v>
      </c>
      <c r="H1440" s="1">
        <v>1670787.62</v>
      </c>
      <c r="I1440" s="1">
        <v>642</v>
      </c>
      <c r="J1440" s="1">
        <v>426</v>
      </c>
      <c r="K1440" s="1">
        <v>72968</v>
      </c>
      <c r="L1440" s="1" t="s">
        <v>30</v>
      </c>
      <c r="M1440" s="1" t="s">
        <v>20</v>
      </c>
      <c r="N1440" s="1">
        <v>4.9000000000000004</v>
      </c>
    </row>
    <row r="1441" spans="1:14" x14ac:dyDescent="0.3">
      <c r="A1441" s="1" t="s">
        <v>2903</v>
      </c>
      <c r="B1441" s="1" t="s">
        <v>2904</v>
      </c>
      <c r="C1441" s="1">
        <v>57</v>
      </c>
      <c r="D1441" s="1" t="s">
        <v>16</v>
      </c>
      <c r="E1441" s="1" t="s">
        <v>45</v>
      </c>
      <c r="F1441" s="1" t="s">
        <v>25</v>
      </c>
      <c r="G1441" s="9">
        <v>422474.38</v>
      </c>
      <c r="H1441" s="1">
        <v>732586.45</v>
      </c>
      <c r="I1441" s="1">
        <v>374</v>
      </c>
      <c r="J1441" s="1">
        <v>444</v>
      </c>
      <c r="K1441" s="1">
        <v>189944</v>
      </c>
      <c r="L1441" s="1" t="s">
        <v>40</v>
      </c>
      <c r="M1441" s="1" t="s">
        <v>20</v>
      </c>
      <c r="N1441" s="1">
        <v>4</v>
      </c>
    </row>
    <row r="1442" spans="1:14" x14ac:dyDescent="0.3">
      <c r="A1442" s="1" t="s">
        <v>2905</v>
      </c>
      <c r="B1442" s="1" t="s">
        <v>2906</v>
      </c>
      <c r="C1442" s="1">
        <v>55</v>
      </c>
      <c r="D1442" s="1" t="s">
        <v>23</v>
      </c>
      <c r="E1442" s="1" t="s">
        <v>55</v>
      </c>
      <c r="F1442" s="1" t="s">
        <v>18</v>
      </c>
      <c r="G1442" s="9">
        <v>964899.46</v>
      </c>
      <c r="H1442" s="1">
        <v>1567444.19</v>
      </c>
      <c r="I1442" s="1">
        <v>351</v>
      </c>
      <c r="J1442" s="1">
        <v>378</v>
      </c>
      <c r="K1442" s="1">
        <v>136212</v>
      </c>
      <c r="L1442" s="1" t="s">
        <v>30</v>
      </c>
      <c r="M1442" s="1" t="s">
        <v>33</v>
      </c>
      <c r="N1442" s="1">
        <v>2.5</v>
      </c>
    </row>
    <row r="1443" spans="1:14" x14ac:dyDescent="0.3">
      <c r="A1443" s="1" t="s">
        <v>2907</v>
      </c>
      <c r="B1443" s="1" t="s">
        <v>599</v>
      </c>
      <c r="C1443" s="1">
        <v>46</v>
      </c>
      <c r="D1443" s="1" t="s">
        <v>23</v>
      </c>
      <c r="E1443" s="1" t="s">
        <v>17</v>
      </c>
      <c r="F1443" s="1" t="s">
        <v>39</v>
      </c>
      <c r="G1443" s="9">
        <v>425843.93</v>
      </c>
      <c r="H1443" s="1">
        <v>405780.71</v>
      </c>
      <c r="I1443" s="1">
        <v>759</v>
      </c>
      <c r="J1443" s="1">
        <v>458</v>
      </c>
      <c r="K1443" s="1">
        <v>176981</v>
      </c>
      <c r="L1443" s="1" t="s">
        <v>40</v>
      </c>
      <c r="M1443" s="1" t="s">
        <v>33</v>
      </c>
      <c r="N1443" s="1">
        <v>1.6</v>
      </c>
    </row>
    <row r="1444" spans="1:14" x14ac:dyDescent="0.3">
      <c r="A1444" s="1" t="s">
        <v>2908</v>
      </c>
      <c r="B1444" s="1" t="s">
        <v>2909</v>
      </c>
      <c r="C1444" s="1">
        <v>19</v>
      </c>
      <c r="D1444" s="1" t="s">
        <v>23</v>
      </c>
      <c r="E1444" s="1" t="s">
        <v>17</v>
      </c>
      <c r="F1444" s="1" t="s">
        <v>18</v>
      </c>
      <c r="G1444" s="9">
        <v>1199007.1599999999</v>
      </c>
      <c r="H1444" s="1">
        <v>1864657.55</v>
      </c>
      <c r="I1444" s="1">
        <v>803</v>
      </c>
      <c r="J1444" s="1">
        <v>376</v>
      </c>
      <c r="K1444" s="1">
        <v>165611</v>
      </c>
      <c r="L1444" s="1" t="s">
        <v>40</v>
      </c>
      <c r="M1444" s="1" t="s">
        <v>20</v>
      </c>
      <c r="N1444" s="1">
        <v>3.5</v>
      </c>
    </row>
    <row r="1445" spans="1:14" x14ac:dyDescent="0.3">
      <c r="A1445" s="1" t="s">
        <v>2910</v>
      </c>
      <c r="B1445" s="1" t="s">
        <v>2911</v>
      </c>
      <c r="C1445" s="1">
        <v>67</v>
      </c>
      <c r="D1445" s="1" t="s">
        <v>16</v>
      </c>
      <c r="E1445" s="1" t="s">
        <v>24</v>
      </c>
      <c r="F1445" s="1" t="s">
        <v>39</v>
      </c>
      <c r="G1445" s="9">
        <v>399001.08</v>
      </c>
      <c r="H1445" s="1">
        <v>993197.26</v>
      </c>
      <c r="I1445" s="1">
        <v>836</v>
      </c>
      <c r="J1445" s="1">
        <v>350</v>
      </c>
      <c r="K1445" s="1">
        <v>223879</v>
      </c>
      <c r="L1445" s="1" t="s">
        <v>40</v>
      </c>
      <c r="M1445" s="1" t="s">
        <v>33</v>
      </c>
      <c r="N1445" s="1">
        <v>3.1</v>
      </c>
    </row>
    <row r="1446" spans="1:14" x14ac:dyDescent="0.3">
      <c r="A1446" s="1" t="s">
        <v>2912</v>
      </c>
      <c r="B1446" s="1" t="s">
        <v>2913</v>
      </c>
      <c r="C1446" s="1">
        <v>32</v>
      </c>
      <c r="D1446" s="1" t="s">
        <v>16</v>
      </c>
      <c r="E1446" s="1" t="s">
        <v>24</v>
      </c>
      <c r="F1446" s="1" t="s">
        <v>81</v>
      </c>
      <c r="G1446" s="9">
        <v>1406176.33</v>
      </c>
      <c r="H1446" s="1">
        <v>2385483.12</v>
      </c>
      <c r="I1446" s="1">
        <v>621</v>
      </c>
      <c r="J1446" s="1">
        <v>188</v>
      </c>
      <c r="K1446" s="1">
        <v>43379</v>
      </c>
      <c r="L1446" s="1" t="s">
        <v>30</v>
      </c>
      <c r="M1446" s="1" t="s">
        <v>20</v>
      </c>
      <c r="N1446" s="1">
        <v>3.9</v>
      </c>
    </row>
    <row r="1447" spans="1:14" x14ac:dyDescent="0.3">
      <c r="A1447" s="1" t="s">
        <v>2914</v>
      </c>
      <c r="B1447" s="1" t="s">
        <v>2915</v>
      </c>
      <c r="C1447" s="1">
        <v>47</v>
      </c>
      <c r="D1447" s="1" t="s">
        <v>16</v>
      </c>
      <c r="E1447" s="1" t="s">
        <v>29</v>
      </c>
      <c r="F1447" s="1" t="s">
        <v>18</v>
      </c>
      <c r="G1447" s="9">
        <v>1391114.37</v>
      </c>
      <c r="H1447" s="1">
        <v>1160637.5900000001</v>
      </c>
      <c r="I1447" s="1">
        <v>509</v>
      </c>
      <c r="J1447" s="1">
        <v>439</v>
      </c>
      <c r="K1447" s="1">
        <v>162786</v>
      </c>
      <c r="L1447" s="1" t="s">
        <v>40</v>
      </c>
      <c r="M1447" s="1" t="s">
        <v>20</v>
      </c>
      <c r="N1447" s="1">
        <v>5</v>
      </c>
    </row>
    <row r="1448" spans="1:14" x14ac:dyDescent="0.3">
      <c r="A1448" s="1" t="s">
        <v>2916</v>
      </c>
      <c r="B1448" s="1" t="s">
        <v>2917</v>
      </c>
      <c r="C1448" s="1">
        <v>42</v>
      </c>
      <c r="D1448" s="1" t="s">
        <v>23</v>
      </c>
      <c r="E1448" s="1" t="s">
        <v>45</v>
      </c>
      <c r="F1448" s="1" t="s">
        <v>81</v>
      </c>
      <c r="G1448" s="9">
        <v>332212.25</v>
      </c>
      <c r="H1448" s="1">
        <v>1054748.8999999999</v>
      </c>
      <c r="I1448" s="1">
        <v>825</v>
      </c>
      <c r="J1448" s="1">
        <v>347</v>
      </c>
      <c r="K1448" s="1">
        <v>49522</v>
      </c>
      <c r="L1448" s="1" t="s">
        <v>30</v>
      </c>
      <c r="M1448" s="1" t="s">
        <v>20</v>
      </c>
      <c r="N1448" s="1">
        <v>2.2999999999999998</v>
      </c>
    </row>
    <row r="1449" spans="1:14" x14ac:dyDescent="0.3">
      <c r="A1449" s="1" t="s">
        <v>2918</v>
      </c>
      <c r="B1449" s="1" t="s">
        <v>2919</v>
      </c>
      <c r="C1449" s="1">
        <v>30</v>
      </c>
      <c r="D1449" s="1" t="s">
        <v>16</v>
      </c>
      <c r="E1449" s="1" t="s">
        <v>38</v>
      </c>
      <c r="F1449" s="1" t="s">
        <v>81</v>
      </c>
      <c r="G1449" s="9">
        <v>673996.58</v>
      </c>
      <c r="H1449" s="1">
        <v>2228501.36</v>
      </c>
      <c r="I1449" s="1">
        <v>858</v>
      </c>
      <c r="J1449" s="1">
        <v>156</v>
      </c>
      <c r="K1449" s="1">
        <v>77213</v>
      </c>
      <c r="L1449" s="1" t="s">
        <v>19</v>
      </c>
      <c r="M1449" s="1" t="s">
        <v>20</v>
      </c>
      <c r="N1449" s="1">
        <v>2.2000000000000002</v>
      </c>
    </row>
    <row r="1450" spans="1:14" x14ac:dyDescent="0.3">
      <c r="A1450" s="1" t="s">
        <v>2920</v>
      </c>
      <c r="B1450" s="1" t="s">
        <v>2921</v>
      </c>
      <c r="C1450" s="1">
        <v>43</v>
      </c>
      <c r="D1450" s="1" t="s">
        <v>16</v>
      </c>
      <c r="E1450" s="1" t="s">
        <v>24</v>
      </c>
      <c r="F1450" s="1" t="s">
        <v>25</v>
      </c>
      <c r="G1450" s="9">
        <v>767851.59</v>
      </c>
      <c r="H1450" s="1">
        <v>2432696.42</v>
      </c>
      <c r="I1450" s="1">
        <v>396</v>
      </c>
      <c r="J1450" s="1">
        <v>225</v>
      </c>
      <c r="K1450" s="1">
        <v>97074</v>
      </c>
      <c r="L1450" s="1" t="s">
        <v>40</v>
      </c>
      <c r="M1450" s="1" t="s">
        <v>33</v>
      </c>
      <c r="N1450" s="1">
        <v>2.1</v>
      </c>
    </row>
    <row r="1451" spans="1:14" x14ac:dyDescent="0.3">
      <c r="A1451" s="1" t="s">
        <v>2922</v>
      </c>
      <c r="B1451" s="1" t="s">
        <v>2923</v>
      </c>
      <c r="C1451" s="1">
        <v>24</v>
      </c>
      <c r="D1451" s="1" t="s">
        <v>23</v>
      </c>
      <c r="E1451" s="1" t="s">
        <v>38</v>
      </c>
      <c r="F1451" s="1" t="s">
        <v>39</v>
      </c>
      <c r="G1451" s="9">
        <v>708245.05</v>
      </c>
      <c r="H1451" s="1">
        <v>270706.53999999998</v>
      </c>
      <c r="I1451" s="1">
        <v>445</v>
      </c>
      <c r="J1451" s="1">
        <v>468</v>
      </c>
      <c r="K1451" s="1">
        <v>124427</v>
      </c>
      <c r="L1451" s="1" t="s">
        <v>19</v>
      </c>
      <c r="M1451" s="1" t="s">
        <v>20</v>
      </c>
      <c r="N1451" s="1">
        <v>2.9</v>
      </c>
    </row>
    <row r="1452" spans="1:14" x14ac:dyDescent="0.3">
      <c r="A1452" s="1" t="s">
        <v>2924</v>
      </c>
      <c r="B1452" s="1" t="s">
        <v>2925</v>
      </c>
      <c r="C1452" s="1">
        <v>28</v>
      </c>
      <c r="D1452" s="1" t="s">
        <v>16</v>
      </c>
      <c r="E1452" s="1" t="s">
        <v>55</v>
      </c>
      <c r="F1452" s="1" t="s">
        <v>25</v>
      </c>
      <c r="G1452" s="9">
        <v>142941.47</v>
      </c>
      <c r="H1452" s="1">
        <v>1228938.32</v>
      </c>
      <c r="I1452" s="1">
        <v>849</v>
      </c>
      <c r="J1452" s="1">
        <v>428</v>
      </c>
      <c r="K1452" s="1">
        <v>187526</v>
      </c>
      <c r="L1452" s="1" t="s">
        <v>40</v>
      </c>
      <c r="M1452" s="1" t="s">
        <v>33</v>
      </c>
      <c r="N1452" s="1">
        <v>1.7</v>
      </c>
    </row>
    <row r="1453" spans="1:14" x14ac:dyDescent="0.3">
      <c r="A1453" s="1" t="s">
        <v>2926</v>
      </c>
      <c r="B1453" s="1" t="s">
        <v>2927</v>
      </c>
      <c r="C1453" s="1">
        <v>65</v>
      </c>
      <c r="D1453" s="1" t="s">
        <v>16</v>
      </c>
      <c r="E1453" s="1" t="s">
        <v>24</v>
      </c>
      <c r="F1453" s="1" t="s">
        <v>18</v>
      </c>
      <c r="G1453" s="9">
        <v>739502.24</v>
      </c>
      <c r="H1453" s="1">
        <v>1828071.32</v>
      </c>
      <c r="I1453" s="1">
        <v>748</v>
      </c>
      <c r="J1453" s="1">
        <v>124</v>
      </c>
      <c r="K1453" s="1">
        <v>237513</v>
      </c>
      <c r="L1453" s="1" t="s">
        <v>40</v>
      </c>
      <c r="M1453" s="1" t="s">
        <v>33</v>
      </c>
      <c r="N1453" s="1">
        <v>4</v>
      </c>
    </row>
    <row r="1454" spans="1:14" x14ac:dyDescent="0.3">
      <c r="A1454" s="1" t="s">
        <v>2928</v>
      </c>
      <c r="B1454" s="1" t="s">
        <v>2929</v>
      </c>
      <c r="C1454" s="1">
        <v>44</v>
      </c>
      <c r="D1454" s="1" t="s">
        <v>23</v>
      </c>
      <c r="E1454" s="1" t="s">
        <v>17</v>
      </c>
      <c r="F1454" s="1" t="s">
        <v>25</v>
      </c>
      <c r="G1454" s="9">
        <v>511014.55</v>
      </c>
      <c r="H1454" s="1">
        <v>1431063.41</v>
      </c>
      <c r="I1454" s="1">
        <v>760</v>
      </c>
      <c r="J1454" s="1">
        <v>496</v>
      </c>
      <c r="K1454" s="1">
        <v>27643</v>
      </c>
      <c r="L1454" s="1" t="s">
        <v>19</v>
      </c>
      <c r="M1454" s="1" t="s">
        <v>33</v>
      </c>
      <c r="N1454" s="1">
        <v>4</v>
      </c>
    </row>
    <row r="1455" spans="1:14" x14ac:dyDescent="0.3">
      <c r="A1455" s="1" t="s">
        <v>2930</v>
      </c>
      <c r="B1455" s="1" t="s">
        <v>2931</v>
      </c>
      <c r="C1455" s="1">
        <v>48</v>
      </c>
      <c r="D1455" s="1" t="s">
        <v>16</v>
      </c>
      <c r="E1455" s="1" t="s">
        <v>76</v>
      </c>
      <c r="F1455" s="1" t="s">
        <v>81</v>
      </c>
      <c r="G1455" s="9">
        <v>96327.97</v>
      </c>
      <c r="H1455" s="1">
        <v>2152260.09</v>
      </c>
      <c r="I1455" s="1">
        <v>808</v>
      </c>
      <c r="J1455" s="1">
        <v>125</v>
      </c>
      <c r="K1455" s="1">
        <v>203530</v>
      </c>
      <c r="L1455" s="1" t="s">
        <v>19</v>
      </c>
      <c r="M1455" s="1" t="s">
        <v>33</v>
      </c>
      <c r="N1455" s="1">
        <v>4.5999999999999996</v>
      </c>
    </row>
    <row r="1456" spans="1:14" x14ac:dyDescent="0.3">
      <c r="A1456" s="1" t="s">
        <v>2932</v>
      </c>
      <c r="B1456" s="1" t="s">
        <v>2933</v>
      </c>
      <c r="C1456" s="1">
        <v>52</v>
      </c>
      <c r="D1456" s="1" t="s">
        <v>23</v>
      </c>
      <c r="E1456" s="1" t="s">
        <v>38</v>
      </c>
      <c r="F1456" s="1" t="s">
        <v>18</v>
      </c>
      <c r="G1456" s="9">
        <v>131107</v>
      </c>
      <c r="H1456" s="1">
        <v>2101701.65</v>
      </c>
      <c r="I1456" s="1">
        <v>484</v>
      </c>
      <c r="J1456" s="1">
        <v>119</v>
      </c>
      <c r="K1456" s="1">
        <v>57651</v>
      </c>
      <c r="L1456" s="1" t="s">
        <v>30</v>
      </c>
      <c r="M1456" s="1" t="s">
        <v>33</v>
      </c>
      <c r="N1456" s="1">
        <v>3.5</v>
      </c>
    </row>
    <row r="1457" spans="1:14" x14ac:dyDescent="0.3">
      <c r="A1457" s="1" t="s">
        <v>2934</v>
      </c>
      <c r="B1457" s="1" t="s">
        <v>2935</v>
      </c>
      <c r="C1457" s="1">
        <v>18</v>
      </c>
      <c r="D1457" s="1" t="s">
        <v>16</v>
      </c>
      <c r="E1457" s="1" t="s">
        <v>29</v>
      </c>
      <c r="F1457" s="1" t="s">
        <v>39</v>
      </c>
      <c r="G1457" s="9">
        <v>505901.27</v>
      </c>
      <c r="H1457" s="1">
        <v>2472183.4300000002</v>
      </c>
      <c r="I1457" s="1">
        <v>407</v>
      </c>
      <c r="J1457" s="1">
        <v>356</v>
      </c>
      <c r="K1457" s="1">
        <v>223761</v>
      </c>
      <c r="L1457" s="1" t="s">
        <v>19</v>
      </c>
      <c r="M1457" s="1" t="s">
        <v>20</v>
      </c>
      <c r="N1457" s="1">
        <v>2.1</v>
      </c>
    </row>
    <row r="1458" spans="1:14" x14ac:dyDescent="0.3">
      <c r="A1458" s="1" t="s">
        <v>2936</v>
      </c>
      <c r="B1458" s="1" t="s">
        <v>2937</v>
      </c>
      <c r="C1458" s="1">
        <v>38</v>
      </c>
      <c r="D1458" s="1" t="s">
        <v>23</v>
      </c>
      <c r="E1458" s="1" t="s">
        <v>24</v>
      </c>
      <c r="F1458" s="1" t="s">
        <v>25</v>
      </c>
      <c r="G1458" s="9">
        <v>599906.01</v>
      </c>
      <c r="H1458" s="1">
        <v>1141814.31</v>
      </c>
      <c r="I1458" s="1">
        <v>340</v>
      </c>
      <c r="J1458" s="1">
        <v>290</v>
      </c>
      <c r="K1458" s="1">
        <v>168862</v>
      </c>
      <c r="L1458" s="1" t="s">
        <v>26</v>
      </c>
      <c r="M1458" s="1" t="s">
        <v>20</v>
      </c>
      <c r="N1458" s="1">
        <v>3.4</v>
      </c>
    </row>
    <row r="1459" spans="1:14" x14ac:dyDescent="0.3">
      <c r="A1459" s="1" t="s">
        <v>2938</v>
      </c>
      <c r="B1459" s="1" t="s">
        <v>2939</v>
      </c>
      <c r="C1459" s="1">
        <v>28</v>
      </c>
      <c r="D1459" s="1" t="s">
        <v>16</v>
      </c>
      <c r="E1459" s="1" t="s">
        <v>17</v>
      </c>
      <c r="F1459" s="1" t="s">
        <v>81</v>
      </c>
      <c r="G1459" s="9">
        <v>1338803.96</v>
      </c>
      <c r="H1459" s="1">
        <v>94470.34</v>
      </c>
      <c r="I1459" s="1">
        <v>638</v>
      </c>
      <c r="J1459" s="1">
        <v>413</v>
      </c>
      <c r="K1459" s="1">
        <v>53259</v>
      </c>
      <c r="L1459" s="1" t="s">
        <v>26</v>
      </c>
      <c r="M1459" s="1" t="s">
        <v>20</v>
      </c>
      <c r="N1459" s="1">
        <v>1.1000000000000001</v>
      </c>
    </row>
    <row r="1460" spans="1:14" x14ac:dyDescent="0.3">
      <c r="A1460" s="1" t="s">
        <v>2940</v>
      </c>
      <c r="B1460" s="1" t="s">
        <v>2941</v>
      </c>
      <c r="C1460" s="1">
        <v>37</v>
      </c>
      <c r="D1460" s="1" t="s">
        <v>16</v>
      </c>
      <c r="E1460" s="1" t="s">
        <v>55</v>
      </c>
      <c r="F1460" s="1" t="s">
        <v>81</v>
      </c>
      <c r="G1460" s="9">
        <v>509892.83</v>
      </c>
      <c r="H1460" s="1">
        <v>1838561.77</v>
      </c>
      <c r="I1460" s="1">
        <v>824</v>
      </c>
      <c r="J1460" s="1">
        <v>288</v>
      </c>
      <c r="K1460" s="1">
        <v>178753</v>
      </c>
      <c r="L1460" s="1" t="s">
        <v>30</v>
      </c>
      <c r="M1460" s="1" t="s">
        <v>33</v>
      </c>
      <c r="N1460" s="1">
        <v>3.5</v>
      </c>
    </row>
    <row r="1461" spans="1:14" x14ac:dyDescent="0.3">
      <c r="A1461" s="1" t="s">
        <v>2942</v>
      </c>
      <c r="B1461" s="1" t="s">
        <v>2943</v>
      </c>
      <c r="C1461" s="1">
        <v>69</v>
      </c>
      <c r="D1461" s="1" t="s">
        <v>16</v>
      </c>
      <c r="E1461" s="1" t="s">
        <v>24</v>
      </c>
      <c r="F1461" s="1" t="s">
        <v>25</v>
      </c>
      <c r="G1461" s="9">
        <v>1369813.48</v>
      </c>
      <c r="H1461" s="1">
        <v>1738200.91</v>
      </c>
      <c r="I1461" s="1">
        <v>751</v>
      </c>
      <c r="J1461" s="1">
        <v>51</v>
      </c>
      <c r="K1461" s="1">
        <v>216915</v>
      </c>
      <c r="L1461" s="1" t="s">
        <v>30</v>
      </c>
      <c r="M1461" s="1" t="s">
        <v>33</v>
      </c>
      <c r="N1461" s="1">
        <v>2.4</v>
      </c>
    </row>
    <row r="1462" spans="1:14" x14ac:dyDescent="0.3">
      <c r="A1462" s="1" t="s">
        <v>2944</v>
      </c>
      <c r="B1462" s="1" t="s">
        <v>2945</v>
      </c>
      <c r="C1462" s="1">
        <v>48</v>
      </c>
      <c r="D1462" s="1" t="s">
        <v>23</v>
      </c>
      <c r="E1462" s="1" t="s">
        <v>55</v>
      </c>
      <c r="F1462" s="1" t="s">
        <v>25</v>
      </c>
      <c r="G1462" s="9">
        <v>811208.8</v>
      </c>
      <c r="H1462" s="1">
        <v>2430273.96</v>
      </c>
      <c r="I1462" s="1">
        <v>491</v>
      </c>
      <c r="J1462" s="1">
        <v>18</v>
      </c>
      <c r="K1462" s="1">
        <v>71377</v>
      </c>
      <c r="L1462" s="1" t="s">
        <v>19</v>
      </c>
      <c r="M1462" s="1" t="s">
        <v>20</v>
      </c>
      <c r="N1462" s="1">
        <v>4.7</v>
      </c>
    </row>
    <row r="1463" spans="1:14" x14ac:dyDescent="0.3">
      <c r="A1463" s="1" t="s">
        <v>2946</v>
      </c>
      <c r="B1463" s="1" t="s">
        <v>2947</v>
      </c>
      <c r="C1463" s="1">
        <v>64</v>
      </c>
      <c r="D1463" s="1" t="s">
        <v>16</v>
      </c>
      <c r="E1463" s="1" t="s">
        <v>17</v>
      </c>
      <c r="F1463" s="1" t="s">
        <v>25</v>
      </c>
      <c r="G1463" s="9">
        <v>997219.83999999997</v>
      </c>
      <c r="H1463" s="1">
        <v>1153514.93</v>
      </c>
      <c r="I1463" s="1">
        <v>844</v>
      </c>
      <c r="J1463" s="1">
        <v>257</v>
      </c>
      <c r="K1463" s="1">
        <v>184578</v>
      </c>
      <c r="L1463" s="1" t="s">
        <v>40</v>
      </c>
      <c r="M1463" s="1" t="s">
        <v>20</v>
      </c>
      <c r="N1463" s="1">
        <v>2.5</v>
      </c>
    </row>
    <row r="1464" spans="1:14" x14ac:dyDescent="0.3">
      <c r="A1464" s="1" t="s">
        <v>2948</v>
      </c>
      <c r="B1464" s="1" t="s">
        <v>2949</v>
      </c>
      <c r="C1464" s="1">
        <v>38</v>
      </c>
      <c r="D1464" s="1" t="s">
        <v>23</v>
      </c>
      <c r="E1464" s="1" t="s">
        <v>76</v>
      </c>
      <c r="F1464" s="1" t="s">
        <v>25</v>
      </c>
      <c r="G1464" s="9">
        <v>867322.39</v>
      </c>
      <c r="H1464" s="1">
        <v>1234767.8999999999</v>
      </c>
      <c r="I1464" s="1">
        <v>339</v>
      </c>
      <c r="J1464" s="1">
        <v>409</v>
      </c>
      <c r="K1464" s="1">
        <v>155296</v>
      </c>
      <c r="L1464" s="1" t="s">
        <v>40</v>
      </c>
      <c r="M1464" s="1" t="s">
        <v>20</v>
      </c>
      <c r="N1464" s="1">
        <v>3.6</v>
      </c>
    </row>
    <row r="1465" spans="1:14" x14ac:dyDescent="0.3">
      <c r="A1465" s="1" t="s">
        <v>2950</v>
      </c>
      <c r="B1465" s="1" t="s">
        <v>2951</v>
      </c>
      <c r="C1465" s="1">
        <v>41</v>
      </c>
      <c r="D1465" s="1" t="s">
        <v>23</v>
      </c>
      <c r="E1465" s="1" t="s">
        <v>48</v>
      </c>
      <c r="F1465" s="1" t="s">
        <v>25</v>
      </c>
      <c r="G1465" s="9">
        <v>1044774.93</v>
      </c>
      <c r="H1465" s="1">
        <v>2207551.15</v>
      </c>
      <c r="I1465" s="1">
        <v>669</v>
      </c>
      <c r="J1465" s="1">
        <v>391</v>
      </c>
      <c r="K1465" s="1">
        <v>33597</v>
      </c>
      <c r="L1465" s="1" t="s">
        <v>19</v>
      </c>
      <c r="M1465" s="1" t="s">
        <v>20</v>
      </c>
      <c r="N1465" s="1">
        <v>5</v>
      </c>
    </row>
    <row r="1466" spans="1:14" x14ac:dyDescent="0.3">
      <c r="A1466" s="1" t="s">
        <v>2952</v>
      </c>
      <c r="B1466" s="1" t="s">
        <v>2953</v>
      </c>
      <c r="C1466" s="1">
        <v>61</v>
      </c>
      <c r="D1466" s="1" t="s">
        <v>23</v>
      </c>
      <c r="E1466" s="1" t="s">
        <v>55</v>
      </c>
      <c r="F1466" s="1" t="s">
        <v>81</v>
      </c>
      <c r="G1466" s="9">
        <v>256039.89</v>
      </c>
      <c r="H1466" s="1">
        <v>2249416.89</v>
      </c>
      <c r="I1466" s="1">
        <v>480</v>
      </c>
      <c r="J1466" s="1">
        <v>403</v>
      </c>
      <c r="K1466" s="1">
        <v>52722</v>
      </c>
      <c r="L1466" s="1" t="s">
        <v>40</v>
      </c>
      <c r="M1466" s="1" t="s">
        <v>33</v>
      </c>
      <c r="N1466" s="1">
        <v>4</v>
      </c>
    </row>
    <row r="1467" spans="1:14" x14ac:dyDescent="0.3">
      <c r="A1467" s="1" t="s">
        <v>2954</v>
      </c>
      <c r="B1467" s="1" t="s">
        <v>2955</v>
      </c>
      <c r="C1467" s="1">
        <v>47</v>
      </c>
      <c r="D1467" s="1" t="s">
        <v>16</v>
      </c>
      <c r="E1467" s="1" t="s">
        <v>55</v>
      </c>
      <c r="F1467" s="1" t="s">
        <v>25</v>
      </c>
      <c r="G1467" s="9">
        <v>594130.17000000004</v>
      </c>
      <c r="H1467" s="1">
        <v>350885.4</v>
      </c>
      <c r="I1467" s="1">
        <v>601</v>
      </c>
      <c r="J1467" s="1">
        <v>100</v>
      </c>
      <c r="K1467" s="1">
        <v>175607</v>
      </c>
      <c r="L1467" s="1" t="s">
        <v>40</v>
      </c>
      <c r="M1467" s="1" t="s">
        <v>20</v>
      </c>
      <c r="N1467" s="1">
        <v>3.6</v>
      </c>
    </row>
    <row r="1468" spans="1:14" x14ac:dyDescent="0.3">
      <c r="A1468" s="1" t="s">
        <v>2956</v>
      </c>
      <c r="B1468" s="1" t="s">
        <v>2957</v>
      </c>
      <c r="C1468" s="1">
        <v>52</v>
      </c>
      <c r="D1468" s="1" t="s">
        <v>23</v>
      </c>
      <c r="E1468" s="1" t="s">
        <v>38</v>
      </c>
      <c r="F1468" s="1" t="s">
        <v>81</v>
      </c>
      <c r="G1468" s="9">
        <v>1402131.79</v>
      </c>
      <c r="H1468" s="1">
        <v>850465.17</v>
      </c>
      <c r="I1468" s="1">
        <v>468</v>
      </c>
      <c r="J1468" s="1">
        <v>138</v>
      </c>
      <c r="K1468" s="1">
        <v>170102</v>
      </c>
      <c r="L1468" s="1" t="s">
        <v>30</v>
      </c>
      <c r="M1468" s="1" t="s">
        <v>20</v>
      </c>
      <c r="N1468" s="1">
        <v>1.3</v>
      </c>
    </row>
    <row r="1469" spans="1:14" x14ac:dyDescent="0.3">
      <c r="A1469" s="1" t="s">
        <v>2958</v>
      </c>
      <c r="B1469" s="1" t="s">
        <v>2959</v>
      </c>
      <c r="C1469" s="1">
        <v>39</v>
      </c>
      <c r="D1469" s="1" t="s">
        <v>16</v>
      </c>
      <c r="E1469" s="1" t="s">
        <v>48</v>
      </c>
      <c r="F1469" s="1" t="s">
        <v>81</v>
      </c>
      <c r="G1469" s="9">
        <v>255680.6</v>
      </c>
      <c r="H1469" s="1">
        <v>1438609.2</v>
      </c>
      <c r="I1469" s="1">
        <v>713</v>
      </c>
      <c r="J1469" s="1">
        <v>489</v>
      </c>
      <c r="K1469" s="1">
        <v>121994</v>
      </c>
      <c r="L1469" s="1" t="s">
        <v>19</v>
      </c>
      <c r="M1469" s="1" t="s">
        <v>20</v>
      </c>
      <c r="N1469" s="1">
        <v>3.4</v>
      </c>
    </row>
    <row r="1470" spans="1:14" x14ac:dyDescent="0.3">
      <c r="A1470" s="1" t="s">
        <v>2960</v>
      </c>
      <c r="B1470" s="1" t="s">
        <v>559</v>
      </c>
      <c r="C1470" s="1">
        <v>50</v>
      </c>
      <c r="D1470" s="1" t="s">
        <v>23</v>
      </c>
      <c r="E1470" s="1" t="s">
        <v>55</v>
      </c>
      <c r="F1470" s="1" t="s">
        <v>25</v>
      </c>
      <c r="G1470" s="9">
        <v>842100.61</v>
      </c>
      <c r="H1470" s="1">
        <v>978048.28</v>
      </c>
      <c r="I1470" s="1">
        <v>674</v>
      </c>
      <c r="J1470" s="1">
        <v>18</v>
      </c>
      <c r="K1470" s="1">
        <v>47842</v>
      </c>
      <c r="L1470" s="1" t="s">
        <v>26</v>
      </c>
      <c r="M1470" s="1" t="s">
        <v>20</v>
      </c>
      <c r="N1470" s="1">
        <v>4.8</v>
      </c>
    </row>
    <row r="1471" spans="1:14" x14ac:dyDescent="0.3">
      <c r="A1471" s="1" t="s">
        <v>2961</v>
      </c>
      <c r="B1471" s="1" t="s">
        <v>2962</v>
      </c>
      <c r="C1471" s="1">
        <v>57</v>
      </c>
      <c r="D1471" s="1" t="s">
        <v>16</v>
      </c>
      <c r="E1471" s="1" t="s">
        <v>24</v>
      </c>
      <c r="F1471" s="1" t="s">
        <v>81</v>
      </c>
      <c r="G1471" s="9">
        <v>1135201.9099999999</v>
      </c>
      <c r="H1471" s="1">
        <v>1932508.1</v>
      </c>
      <c r="I1471" s="1">
        <v>594</v>
      </c>
      <c r="J1471" s="1">
        <v>427</v>
      </c>
      <c r="K1471" s="1">
        <v>104001</v>
      </c>
      <c r="L1471" s="1" t="s">
        <v>19</v>
      </c>
      <c r="M1471" s="1" t="s">
        <v>20</v>
      </c>
      <c r="N1471" s="1">
        <v>2</v>
      </c>
    </row>
    <row r="1472" spans="1:14" x14ac:dyDescent="0.3">
      <c r="A1472" s="1" t="s">
        <v>2963</v>
      </c>
      <c r="B1472" s="1" t="s">
        <v>2964</v>
      </c>
      <c r="C1472" s="1">
        <v>25</v>
      </c>
      <c r="D1472" s="1" t="s">
        <v>23</v>
      </c>
      <c r="E1472" s="1" t="s">
        <v>24</v>
      </c>
      <c r="F1472" s="1" t="s">
        <v>81</v>
      </c>
      <c r="G1472" s="9">
        <v>900506.56</v>
      </c>
      <c r="H1472" s="1">
        <v>412037.22</v>
      </c>
      <c r="I1472" s="1">
        <v>503</v>
      </c>
      <c r="J1472" s="1">
        <v>272</v>
      </c>
      <c r="K1472" s="1">
        <v>146148</v>
      </c>
      <c r="L1472" s="1" t="s">
        <v>19</v>
      </c>
      <c r="M1472" s="1" t="s">
        <v>20</v>
      </c>
      <c r="N1472" s="1">
        <v>4.3</v>
      </c>
    </row>
    <row r="1473" spans="1:14" x14ac:dyDescent="0.3">
      <c r="A1473" s="1" t="s">
        <v>2965</v>
      </c>
      <c r="B1473" s="1" t="s">
        <v>2966</v>
      </c>
      <c r="C1473" s="1">
        <v>41</v>
      </c>
      <c r="D1473" s="1" t="s">
        <v>23</v>
      </c>
      <c r="E1473" s="1" t="s">
        <v>24</v>
      </c>
      <c r="F1473" s="1" t="s">
        <v>18</v>
      </c>
      <c r="G1473" s="9">
        <v>594823.48</v>
      </c>
      <c r="H1473" s="1">
        <v>220518.14</v>
      </c>
      <c r="I1473" s="1">
        <v>600</v>
      </c>
      <c r="J1473" s="1">
        <v>237</v>
      </c>
      <c r="K1473" s="1">
        <v>75098</v>
      </c>
      <c r="L1473" s="1" t="s">
        <v>40</v>
      </c>
      <c r="M1473" s="1" t="s">
        <v>20</v>
      </c>
      <c r="N1473" s="1">
        <v>1.4</v>
      </c>
    </row>
    <row r="1474" spans="1:14" x14ac:dyDescent="0.3">
      <c r="A1474" s="1" t="s">
        <v>2967</v>
      </c>
      <c r="B1474" s="1" t="s">
        <v>2968</v>
      </c>
      <c r="C1474" s="1">
        <v>41</v>
      </c>
      <c r="D1474" s="1" t="s">
        <v>16</v>
      </c>
      <c r="E1474" s="1" t="s">
        <v>24</v>
      </c>
      <c r="F1474" s="1" t="s">
        <v>25</v>
      </c>
      <c r="G1474" s="9">
        <v>1329717.83</v>
      </c>
      <c r="H1474" s="1">
        <v>2043847.04</v>
      </c>
      <c r="I1474" s="1">
        <v>787</v>
      </c>
      <c r="J1474" s="1">
        <v>377</v>
      </c>
      <c r="K1474" s="1">
        <v>182366</v>
      </c>
      <c r="L1474" s="1" t="s">
        <v>30</v>
      </c>
      <c r="M1474" s="1" t="s">
        <v>33</v>
      </c>
      <c r="N1474" s="1">
        <v>4.4000000000000004</v>
      </c>
    </row>
    <row r="1475" spans="1:14" x14ac:dyDescent="0.3">
      <c r="A1475" s="1" t="s">
        <v>2969</v>
      </c>
      <c r="B1475" s="1" t="s">
        <v>2970</v>
      </c>
      <c r="C1475" s="1">
        <v>20</v>
      </c>
      <c r="D1475" s="1" t="s">
        <v>16</v>
      </c>
      <c r="E1475" s="1" t="s">
        <v>55</v>
      </c>
      <c r="F1475" s="1" t="s">
        <v>18</v>
      </c>
      <c r="G1475" s="9">
        <v>1439901.32</v>
      </c>
      <c r="H1475" s="1">
        <v>664386.06000000006</v>
      </c>
      <c r="I1475" s="1">
        <v>453</v>
      </c>
      <c r="J1475" s="1">
        <v>361</v>
      </c>
      <c r="K1475" s="1">
        <v>24209</v>
      </c>
      <c r="L1475" s="1" t="s">
        <v>19</v>
      </c>
      <c r="M1475" s="1" t="s">
        <v>33</v>
      </c>
      <c r="N1475" s="1">
        <v>4.5</v>
      </c>
    </row>
    <row r="1476" spans="1:14" x14ac:dyDescent="0.3">
      <c r="A1476" s="1" t="s">
        <v>2971</v>
      </c>
      <c r="B1476" s="1" t="s">
        <v>2972</v>
      </c>
      <c r="C1476" s="1">
        <v>29</v>
      </c>
      <c r="D1476" s="1" t="s">
        <v>23</v>
      </c>
      <c r="E1476" s="1" t="s">
        <v>76</v>
      </c>
      <c r="F1476" s="1" t="s">
        <v>39</v>
      </c>
      <c r="G1476" s="9">
        <v>577483.93000000005</v>
      </c>
      <c r="H1476" s="1">
        <v>1323030.29</v>
      </c>
      <c r="I1476" s="1">
        <v>424</v>
      </c>
      <c r="J1476" s="1">
        <v>361</v>
      </c>
      <c r="K1476" s="1">
        <v>139703</v>
      </c>
      <c r="L1476" s="1" t="s">
        <v>30</v>
      </c>
      <c r="M1476" s="1" t="s">
        <v>20</v>
      </c>
      <c r="N1476" s="1">
        <v>3.4</v>
      </c>
    </row>
    <row r="1477" spans="1:14" x14ac:dyDescent="0.3">
      <c r="A1477" s="1" t="s">
        <v>2973</v>
      </c>
      <c r="B1477" s="1" t="s">
        <v>2974</v>
      </c>
      <c r="C1477" s="1">
        <v>35</v>
      </c>
      <c r="D1477" s="1" t="s">
        <v>23</v>
      </c>
      <c r="E1477" s="1" t="s">
        <v>17</v>
      </c>
      <c r="F1477" s="1" t="s">
        <v>39</v>
      </c>
      <c r="G1477" s="9">
        <v>199014.96</v>
      </c>
      <c r="H1477" s="1">
        <v>2111755.4700000002</v>
      </c>
      <c r="I1477" s="1">
        <v>839</v>
      </c>
      <c r="J1477" s="1">
        <v>290</v>
      </c>
      <c r="K1477" s="1">
        <v>114630</v>
      </c>
      <c r="L1477" s="1" t="s">
        <v>40</v>
      </c>
      <c r="M1477" s="1" t="s">
        <v>33</v>
      </c>
      <c r="N1477" s="1">
        <v>4.4000000000000004</v>
      </c>
    </row>
    <row r="1478" spans="1:14" x14ac:dyDescent="0.3">
      <c r="A1478" s="1" t="s">
        <v>2975</v>
      </c>
      <c r="B1478" s="1" t="s">
        <v>2976</v>
      </c>
      <c r="C1478" s="1">
        <v>53</v>
      </c>
      <c r="D1478" s="1" t="s">
        <v>23</v>
      </c>
      <c r="E1478" s="1" t="s">
        <v>45</v>
      </c>
      <c r="F1478" s="1" t="s">
        <v>25</v>
      </c>
      <c r="G1478" s="9">
        <v>1369774.82</v>
      </c>
      <c r="H1478" s="1">
        <v>1939647.82</v>
      </c>
      <c r="I1478" s="1">
        <v>726</v>
      </c>
      <c r="J1478" s="1">
        <v>34</v>
      </c>
      <c r="K1478" s="1">
        <v>232100</v>
      </c>
      <c r="L1478" s="1" t="s">
        <v>26</v>
      </c>
      <c r="M1478" s="1" t="s">
        <v>33</v>
      </c>
      <c r="N1478" s="1">
        <v>4.8</v>
      </c>
    </row>
    <row r="1479" spans="1:14" x14ac:dyDescent="0.3">
      <c r="A1479" s="1" t="s">
        <v>2977</v>
      </c>
      <c r="B1479" s="1" t="s">
        <v>2978</v>
      </c>
      <c r="C1479" s="1">
        <v>28</v>
      </c>
      <c r="D1479" s="1" t="s">
        <v>23</v>
      </c>
      <c r="E1479" s="1" t="s">
        <v>48</v>
      </c>
      <c r="F1479" s="1" t="s">
        <v>25</v>
      </c>
      <c r="G1479" s="9">
        <v>741604.23</v>
      </c>
      <c r="H1479" s="1">
        <v>844726.31</v>
      </c>
      <c r="I1479" s="1">
        <v>645</v>
      </c>
      <c r="J1479" s="1">
        <v>384</v>
      </c>
      <c r="K1479" s="1">
        <v>56233</v>
      </c>
      <c r="L1479" s="1" t="s">
        <v>26</v>
      </c>
      <c r="M1479" s="1" t="s">
        <v>33</v>
      </c>
      <c r="N1479" s="1">
        <v>4.5999999999999996</v>
      </c>
    </row>
    <row r="1480" spans="1:14" x14ac:dyDescent="0.3">
      <c r="A1480" s="1" t="s">
        <v>2979</v>
      </c>
      <c r="B1480" s="1" t="s">
        <v>2980</v>
      </c>
      <c r="C1480" s="1">
        <v>68</v>
      </c>
      <c r="D1480" s="1" t="s">
        <v>16</v>
      </c>
      <c r="E1480" s="1" t="s">
        <v>29</v>
      </c>
      <c r="F1480" s="1" t="s">
        <v>25</v>
      </c>
      <c r="G1480" s="9">
        <v>1263156.6299999999</v>
      </c>
      <c r="H1480" s="1">
        <v>720081.56</v>
      </c>
      <c r="I1480" s="1">
        <v>814</v>
      </c>
      <c r="J1480" s="1">
        <v>70</v>
      </c>
      <c r="K1480" s="1">
        <v>206823</v>
      </c>
      <c r="L1480" s="1" t="s">
        <v>26</v>
      </c>
      <c r="M1480" s="1" t="s">
        <v>20</v>
      </c>
      <c r="N1480" s="1">
        <v>2.2000000000000002</v>
      </c>
    </row>
    <row r="1481" spans="1:14" x14ac:dyDescent="0.3">
      <c r="A1481" s="1" t="s">
        <v>2981</v>
      </c>
      <c r="B1481" s="1" t="s">
        <v>2982</v>
      </c>
      <c r="C1481" s="1">
        <v>26</v>
      </c>
      <c r="D1481" s="1" t="s">
        <v>16</v>
      </c>
      <c r="E1481" s="1" t="s">
        <v>24</v>
      </c>
      <c r="F1481" s="1" t="s">
        <v>18</v>
      </c>
      <c r="G1481" s="9">
        <v>14355.05</v>
      </c>
      <c r="H1481" s="1">
        <v>98505.47</v>
      </c>
      <c r="I1481" s="1">
        <v>459</v>
      </c>
      <c r="J1481" s="1">
        <v>415</v>
      </c>
      <c r="K1481" s="1">
        <v>243087</v>
      </c>
      <c r="L1481" s="1" t="s">
        <v>40</v>
      </c>
      <c r="M1481" s="1" t="s">
        <v>20</v>
      </c>
      <c r="N1481" s="1">
        <v>2.2000000000000002</v>
      </c>
    </row>
    <row r="1482" spans="1:14" x14ac:dyDescent="0.3">
      <c r="A1482" s="1" t="s">
        <v>2983</v>
      </c>
      <c r="B1482" s="1" t="s">
        <v>2984</v>
      </c>
      <c r="C1482" s="1">
        <v>59</v>
      </c>
      <c r="D1482" s="1" t="s">
        <v>23</v>
      </c>
      <c r="E1482" s="1" t="s">
        <v>29</v>
      </c>
      <c r="F1482" s="1" t="s">
        <v>39</v>
      </c>
      <c r="G1482" s="9">
        <v>1239597.08</v>
      </c>
      <c r="H1482" s="1">
        <v>2478000.33</v>
      </c>
      <c r="I1482" s="1">
        <v>418</v>
      </c>
      <c r="J1482" s="1">
        <v>414</v>
      </c>
      <c r="K1482" s="1">
        <v>249997</v>
      </c>
      <c r="L1482" s="1" t="s">
        <v>19</v>
      </c>
      <c r="M1482" s="1" t="s">
        <v>33</v>
      </c>
      <c r="N1482" s="1">
        <v>2.2999999999999998</v>
      </c>
    </row>
    <row r="1483" spans="1:14" x14ac:dyDescent="0.3">
      <c r="A1483" s="1" t="s">
        <v>2985</v>
      </c>
      <c r="B1483" s="1" t="s">
        <v>2986</v>
      </c>
      <c r="C1483" s="1">
        <v>39</v>
      </c>
      <c r="D1483" s="1" t="s">
        <v>16</v>
      </c>
      <c r="E1483" s="1" t="s">
        <v>55</v>
      </c>
      <c r="F1483" s="1" t="s">
        <v>81</v>
      </c>
      <c r="G1483" s="9">
        <v>55515.01</v>
      </c>
      <c r="H1483" s="1">
        <v>510228.18</v>
      </c>
      <c r="I1483" s="1">
        <v>735</v>
      </c>
      <c r="J1483" s="1">
        <v>289</v>
      </c>
      <c r="K1483" s="1">
        <v>145967</v>
      </c>
      <c r="L1483" s="1" t="s">
        <v>26</v>
      </c>
      <c r="M1483" s="1" t="s">
        <v>33</v>
      </c>
      <c r="N1483" s="1">
        <v>4</v>
      </c>
    </row>
    <row r="1484" spans="1:14" x14ac:dyDescent="0.3">
      <c r="A1484" s="1" t="s">
        <v>2987</v>
      </c>
      <c r="B1484" s="1" t="s">
        <v>2988</v>
      </c>
      <c r="C1484" s="1">
        <v>42</v>
      </c>
      <c r="D1484" s="1" t="s">
        <v>16</v>
      </c>
      <c r="E1484" s="1" t="s">
        <v>17</v>
      </c>
      <c r="F1484" s="1" t="s">
        <v>25</v>
      </c>
      <c r="G1484" s="9">
        <v>931843.59</v>
      </c>
      <c r="H1484" s="1">
        <v>1791843.76</v>
      </c>
      <c r="I1484" s="1">
        <v>447</v>
      </c>
      <c r="J1484" s="1">
        <v>260</v>
      </c>
      <c r="K1484" s="1">
        <v>173730</v>
      </c>
      <c r="L1484" s="1" t="s">
        <v>30</v>
      </c>
      <c r="M1484" s="1" t="s">
        <v>33</v>
      </c>
      <c r="N1484" s="1">
        <v>4.9000000000000004</v>
      </c>
    </row>
    <row r="1485" spans="1:14" x14ac:dyDescent="0.3">
      <c r="A1485" s="1" t="s">
        <v>2989</v>
      </c>
      <c r="B1485" s="1" t="s">
        <v>2990</v>
      </c>
      <c r="C1485" s="1">
        <v>59</v>
      </c>
      <c r="D1485" s="1" t="s">
        <v>16</v>
      </c>
      <c r="E1485" s="1" t="s">
        <v>48</v>
      </c>
      <c r="F1485" s="1" t="s">
        <v>81</v>
      </c>
      <c r="G1485" s="9">
        <v>228808.5</v>
      </c>
      <c r="H1485" s="1">
        <v>15913.46</v>
      </c>
      <c r="I1485" s="1">
        <v>675</v>
      </c>
      <c r="J1485" s="1">
        <v>438</v>
      </c>
      <c r="K1485" s="1">
        <v>128338</v>
      </c>
      <c r="L1485" s="1" t="s">
        <v>40</v>
      </c>
      <c r="M1485" s="1" t="s">
        <v>20</v>
      </c>
      <c r="N1485" s="1">
        <v>3.1</v>
      </c>
    </row>
    <row r="1486" spans="1:14" x14ac:dyDescent="0.3">
      <c r="A1486" s="1" t="s">
        <v>2991</v>
      </c>
      <c r="B1486" s="1" t="s">
        <v>2992</v>
      </c>
      <c r="C1486" s="1">
        <v>51</v>
      </c>
      <c r="D1486" s="1" t="s">
        <v>16</v>
      </c>
      <c r="E1486" s="1" t="s">
        <v>24</v>
      </c>
      <c r="F1486" s="1" t="s">
        <v>18</v>
      </c>
      <c r="G1486" s="9">
        <v>1209050.22</v>
      </c>
      <c r="H1486" s="1">
        <v>432184.78</v>
      </c>
      <c r="I1486" s="1">
        <v>856</v>
      </c>
      <c r="J1486" s="1">
        <v>418</v>
      </c>
      <c r="K1486" s="1">
        <v>77262</v>
      </c>
      <c r="L1486" s="1" t="s">
        <v>40</v>
      </c>
      <c r="M1486" s="1" t="s">
        <v>20</v>
      </c>
      <c r="N1486" s="1">
        <v>4.3</v>
      </c>
    </row>
    <row r="1487" spans="1:14" x14ac:dyDescent="0.3">
      <c r="A1487" s="1" t="s">
        <v>2993</v>
      </c>
      <c r="B1487" s="1" t="s">
        <v>2994</v>
      </c>
      <c r="C1487" s="1">
        <v>56</v>
      </c>
      <c r="D1487" s="1" t="s">
        <v>23</v>
      </c>
      <c r="E1487" s="1" t="s">
        <v>76</v>
      </c>
      <c r="F1487" s="1" t="s">
        <v>18</v>
      </c>
      <c r="G1487" s="9">
        <v>1318602.71</v>
      </c>
      <c r="H1487" s="1">
        <v>1612869.72</v>
      </c>
      <c r="I1487" s="1">
        <v>612</v>
      </c>
      <c r="J1487" s="1">
        <v>324</v>
      </c>
      <c r="K1487" s="1">
        <v>57542</v>
      </c>
      <c r="L1487" s="1" t="s">
        <v>40</v>
      </c>
      <c r="M1487" s="1" t="s">
        <v>33</v>
      </c>
      <c r="N1487" s="1">
        <v>1.4</v>
      </c>
    </row>
    <row r="1488" spans="1:14" x14ac:dyDescent="0.3">
      <c r="A1488" s="1" t="s">
        <v>2995</v>
      </c>
      <c r="B1488" s="1" t="s">
        <v>2996</v>
      </c>
      <c r="C1488" s="1">
        <v>34</v>
      </c>
      <c r="D1488" s="1" t="s">
        <v>16</v>
      </c>
      <c r="E1488" s="1" t="s">
        <v>45</v>
      </c>
      <c r="F1488" s="1" t="s">
        <v>25</v>
      </c>
      <c r="G1488" s="9">
        <v>244425.44</v>
      </c>
      <c r="H1488" s="1">
        <v>1793861.46</v>
      </c>
      <c r="I1488" s="1">
        <v>774</v>
      </c>
      <c r="J1488" s="1">
        <v>181</v>
      </c>
      <c r="K1488" s="1">
        <v>148329</v>
      </c>
      <c r="L1488" s="1" t="s">
        <v>19</v>
      </c>
      <c r="M1488" s="1" t="s">
        <v>33</v>
      </c>
      <c r="N1488" s="1">
        <v>1.1000000000000001</v>
      </c>
    </row>
    <row r="1489" spans="1:14" x14ac:dyDescent="0.3">
      <c r="A1489" s="1" t="s">
        <v>2997</v>
      </c>
      <c r="B1489" s="1" t="s">
        <v>2998</v>
      </c>
      <c r="C1489" s="1">
        <v>29</v>
      </c>
      <c r="D1489" s="1" t="s">
        <v>23</v>
      </c>
      <c r="E1489" s="1" t="s">
        <v>55</v>
      </c>
      <c r="F1489" s="1" t="s">
        <v>25</v>
      </c>
      <c r="G1489" s="9">
        <v>275094.48</v>
      </c>
      <c r="H1489" s="1">
        <v>875219.26</v>
      </c>
      <c r="I1489" s="1">
        <v>775</v>
      </c>
      <c r="J1489" s="1">
        <v>169</v>
      </c>
      <c r="K1489" s="1">
        <v>226287</v>
      </c>
      <c r="L1489" s="1" t="s">
        <v>40</v>
      </c>
      <c r="M1489" s="1" t="s">
        <v>33</v>
      </c>
      <c r="N1489" s="1">
        <v>2</v>
      </c>
    </row>
    <row r="1490" spans="1:14" x14ac:dyDescent="0.3">
      <c r="A1490" s="1" t="s">
        <v>2999</v>
      </c>
      <c r="B1490" s="1" t="s">
        <v>3000</v>
      </c>
      <c r="C1490" s="1">
        <v>27</v>
      </c>
      <c r="D1490" s="1" t="s">
        <v>23</v>
      </c>
      <c r="E1490" s="1" t="s">
        <v>17</v>
      </c>
      <c r="F1490" s="1" t="s">
        <v>39</v>
      </c>
      <c r="G1490" s="9">
        <v>858972.13</v>
      </c>
      <c r="H1490" s="1">
        <v>81734.44</v>
      </c>
      <c r="I1490" s="1">
        <v>445</v>
      </c>
      <c r="J1490" s="1">
        <v>321</v>
      </c>
      <c r="K1490" s="1">
        <v>246161</v>
      </c>
      <c r="L1490" s="1" t="s">
        <v>19</v>
      </c>
      <c r="M1490" s="1" t="s">
        <v>33</v>
      </c>
      <c r="N1490" s="1">
        <v>1.4</v>
      </c>
    </row>
    <row r="1491" spans="1:14" x14ac:dyDescent="0.3">
      <c r="A1491" s="1" t="s">
        <v>3001</v>
      </c>
      <c r="B1491" s="1" t="s">
        <v>3002</v>
      </c>
      <c r="C1491" s="1">
        <v>21</v>
      </c>
      <c r="D1491" s="1" t="s">
        <v>16</v>
      </c>
      <c r="E1491" s="1" t="s">
        <v>45</v>
      </c>
      <c r="F1491" s="1" t="s">
        <v>39</v>
      </c>
      <c r="G1491" s="9">
        <v>1304200.3799999999</v>
      </c>
      <c r="H1491" s="1">
        <v>1795722.72</v>
      </c>
      <c r="I1491" s="1">
        <v>423</v>
      </c>
      <c r="J1491" s="1">
        <v>335</v>
      </c>
      <c r="K1491" s="1">
        <v>164015</v>
      </c>
      <c r="L1491" s="1" t="s">
        <v>40</v>
      </c>
      <c r="M1491" s="1" t="s">
        <v>33</v>
      </c>
      <c r="N1491" s="1">
        <v>2.9</v>
      </c>
    </row>
    <row r="1492" spans="1:14" x14ac:dyDescent="0.3">
      <c r="A1492" s="1" t="s">
        <v>3003</v>
      </c>
      <c r="B1492" s="1" t="s">
        <v>3004</v>
      </c>
      <c r="C1492" s="1">
        <v>68</v>
      </c>
      <c r="D1492" s="1" t="s">
        <v>16</v>
      </c>
      <c r="E1492" s="1" t="s">
        <v>48</v>
      </c>
      <c r="F1492" s="1" t="s">
        <v>39</v>
      </c>
      <c r="G1492" s="9">
        <v>1093813.67</v>
      </c>
      <c r="H1492" s="1">
        <v>2314487.4500000002</v>
      </c>
      <c r="I1492" s="1">
        <v>896</v>
      </c>
      <c r="J1492" s="1">
        <v>499</v>
      </c>
      <c r="K1492" s="1">
        <v>208008</v>
      </c>
      <c r="L1492" s="1" t="s">
        <v>40</v>
      </c>
      <c r="M1492" s="1" t="s">
        <v>20</v>
      </c>
      <c r="N1492" s="1">
        <v>1.7</v>
      </c>
    </row>
    <row r="1493" spans="1:14" x14ac:dyDescent="0.3">
      <c r="A1493" s="1" t="s">
        <v>3005</v>
      </c>
      <c r="B1493" s="1" t="s">
        <v>3006</v>
      </c>
      <c r="C1493" s="1">
        <v>54</v>
      </c>
      <c r="D1493" s="1" t="s">
        <v>16</v>
      </c>
      <c r="E1493" s="1" t="s">
        <v>17</v>
      </c>
      <c r="F1493" s="1" t="s">
        <v>81</v>
      </c>
      <c r="G1493" s="9">
        <v>1364914.09</v>
      </c>
      <c r="H1493" s="1">
        <v>535246.24</v>
      </c>
      <c r="I1493" s="1">
        <v>721</v>
      </c>
      <c r="J1493" s="1">
        <v>456</v>
      </c>
      <c r="K1493" s="1">
        <v>168602</v>
      </c>
      <c r="L1493" s="1" t="s">
        <v>19</v>
      </c>
      <c r="M1493" s="1" t="s">
        <v>33</v>
      </c>
      <c r="N1493" s="1">
        <v>1.7</v>
      </c>
    </row>
    <row r="1494" spans="1:14" x14ac:dyDescent="0.3">
      <c r="A1494" s="1" t="s">
        <v>3007</v>
      </c>
      <c r="B1494" s="1" t="s">
        <v>3008</v>
      </c>
      <c r="C1494" s="1">
        <v>33</v>
      </c>
      <c r="D1494" s="1" t="s">
        <v>16</v>
      </c>
      <c r="E1494" s="1" t="s">
        <v>24</v>
      </c>
      <c r="F1494" s="1" t="s">
        <v>81</v>
      </c>
      <c r="G1494" s="9">
        <v>828235.1</v>
      </c>
      <c r="H1494" s="1">
        <v>591136.81000000006</v>
      </c>
      <c r="I1494" s="1">
        <v>470</v>
      </c>
      <c r="J1494" s="1">
        <v>171</v>
      </c>
      <c r="K1494" s="1">
        <v>165001</v>
      </c>
      <c r="L1494" s="1" t="s">
        <v>26</v>
      </c>
      <c r="M1494" s="1" t="s">
        <v>33</v>
      </c>
      <c r="N1494" s="1">
        <v>3.6</v>
      </c>
    </row>
    <row r="1495" spans="1:14" x14ac:dyDescent="0.3">
      <c r="A1495" s="1" t="s">
        <v>3009</v>
      </c>
      <c r="B1495" s="1" t="s">
        <v>3010</v>
      </c>
      <c r="C1495" s="1">
        <v>44</v>
      </c>
      <c r="D1495" s="1" t="s">
        <v>23</v>
      </c>
      <c r="E1495" s="1" t="s">
        <v>55</v>
      </c>
      <c r="F1495" s="1" t="s">
        <v>39</v>
      </c>
      <c r="G1495" s="9">
        <v>736209.32</v>
      </c>
      <c r="H1495" s="1">
        <v>1611516.22</v>
      </c>
      <c r="I1495" s="1">
        <v>804</v>
      </c>
      <c r="J1495" s="1">
        <v>117</v>
      </c>
      <c r="K1495" s="1">
        <v>52022</v>
      </c>
      <c r="L1495" s="1" t="s">
        <v>19</v>
      </c>
      <c r="M1495" s="1" t="s">
        <v>33</v>
      </c>
      <c r="N1495" s="1">
        <v>1.6</v>
      </c>
    </row>
    <row r="1496" spans="1:14" x14ac:dyDescent="0.3">
      <c r="A1496" s="1" t="s">
        <v>3011</v>
      </c>
      <c r="B1496" s="1" t="s">
        <v>3012</v>
      </c>
      <c r="C1496" s="1">
        <v>34</v>
      </c>
      <c r="D1496" s="1" t="s">
        <v>16</v>
      </c>
      <c r="E1496" s="1" t="s">
        <v>38</v>
      </c>
      <c r="F1496" s="1" t="s">
        <v>25</v>
      </c>
      <c r="G1496" s="9">
        <v>384574.89</v>
      </c>
      <c r="H1496" s="1">
        <v>2026908.66</v>
      </c>
      <c r="I1496" s="1">
        <v>810</v>
      </c>
      <c r="J1496" s="1">
        <v>317</v>
      </c>
      <c r="K1496" s="1">
        <v>246868</v>
      </c>
      <c r="L1496" s="1" t="s">
        <v>30</v>
      </c>
      <c r="M1496" s="1" t="s">
        <v>20</v>
      </c>
      <c r="N1496" s="1">
        <v>3.9</v>
      </c>
    </row>
    <row r="1497" spans="1:14" x14ac:dyDescent="0.3">
      <c r="A1497" s="1" t="s">
        <v>3013</v>
      </c>
      <c r="B1497" s="1" t="s">
        <v>3014</v>
      </c>
      <c r="C1497" s="1">
        <v>29</v>
      </c>
      <c r="D1497" s="1" t="s">
        <v>23</v>
      </c>
      <c r="E1497" s="1" t="s">
        <v>45</v>
      </c>
      <c r="F1497" s="1" t="s">
        <v>18</v>
      </c>
      <c r="G1497" s="9">
        <v>265624.2</v>
      </c>
      <c r="H1497" s="1">
        <v>174706.19</v>
      </c>
      <c r="I1497" s="1">
        <v>356</v>
      </c>
      <c r="J1497" s="1">
        <v>174</v>
      </c>
      <c r="K1497" s="1">
        <v>169695</v>
      </c>
      <c r="L1497" s="1" t="s">
        <v>40</v>
      </c>
      <c r="M1497" s="1" t="s">
        <v>33</v>
      </c>
      <c r="N1497" s="1">
        <v>2</v>
      </c>
    </row>
    <row r="1498" spans="1:14" x14ac:dyDescent="0.3">
      <c r="A1498" s="1" t="s">
        <v>3015</v>
      </c>
      <c r="B1498" s="1" t="s">
        <v>3016</v>
      </c>
      <c r="C1498" s="1">
        <v>63</v>
      </c>
      <c r="D1498" s="1" t="s">
        <v>16</v>
      </c>
      <c r="E1498" s="1" t="s">
        <v>38</v>
      </c>
      <c r="F1498" s="1" t="s">
        <v>39</v>
      </c>
      <c r="G1498" s="9">
        <v>493680.77</v>
      </c>
      <c r="H1498" s="1">
        <v>1448946.39</v>
      </c>
      <c r="I1498" s="1">
        <v>871</v>
      </c>
      <c r="J1498" s="1">
        <v>489</v>
      </c>
      <c r="K1498" s="1">
        <v>234302</v>
      </c>
      <c r="L1498" s="1" t="s">
        <v>19</v>
      </c>
      <c r="M1498" s="1" t="s">
        <v>20</v>
      </c>
      <c r="N1498" s="1">
        <v>4.7</v>
      </c>
    </row>
    <row r="1499" spans="1:14" x14ac:dyDescent="0.3">
      <c r="A1499" s="1" t="s">
        <v>3017</v>
      </c>
      <c r="B1499" s="1" t="s">
        <v>3018</v>
      </c>
      <c r="C1499" s="1">
        <v>26</v>
      </c>
      <c r="D1499" s="1" t="s">
        <v>16</v>
      </c>
      <c r="E1499" s="1" t="s">
        <v>76</v>
      </c>
      <c r="F1499" s="1" t="s">
        <v>81</v>
      </c>
      <c r="G1499" s="9">
        <v>549639.37</v>
      </c>
      <c r="H1499" s="1">
        <v>1823007.72</v>
      </c>
      <c r="I1499" s="1">
        <v>355</v>
      </c>
      <c r="J1499" s="1">
        <v>285</v>
      </c>
      <c r="K1499" s="1">
        <v>227941</v>
      </c>
      <c r="L1499" s="1" t="s">
        <v>30</v>
      </c>
      <c r="M1499" s="1" t="s">
        <v>33</v>
      </c>
      <c r="N1499" s="1">
        <v>1.8</v>
      </c>
    </row>
    <row r="1500" spans="1:14" x14ac:dyDescent="0.3">
      <c r="A1500" s="1" t="s">
        <v>3019</v>
      </c>
      <c r="B1500" s="1" t="s">
        <v>3020</v>
      </c>
      <c r="C1500" s="1">
        <v>51</v>
      </c>
      <c r="D1500" s="1" t="s">
        <v>23</v>
      </c>
      <c r="E1500" s="1" t="s">
        <v>48</v>
      </c>
      <c r="F1500" s="1" t="s">
        <v>39</v>
      </c>
      <c r="G1500" s="9">
        <v>761343.52</v>
      </c>
      <c r="H1500" s="1">
        <v>1422303.27</v>
      </c>
      <c r="I1500" s="1">
        <v>657</v>
      </c>
      <c r="J1500" s="1">
        <v>355</v>
      </c>
      <c r="K1500" s="1">
        <v>151979</v>
      </c>
      <c r="L1500" s="1" t="s">
        <v>40</v>
      </c>
      <c r="M1500" s="1" t="s">
        <v>33</v>
      </c>
      <c r="N1500" s="1">
        <v>1.8</v>
      </c>
    </row>
    <row r="1501" spans="1:14" x14ac:dyDescent="0.3">
      <c r="A1501" s="1" t="s">
        <v>3021</v>
      </c>
      <c r="B1501" s="1" t="s">
        <v>3022</v>
      </c>
      <c r="C1501" s="1">
        <v>21</v>
      </c>
      <c r="D1501" s="1" t="s">
        <v>23</v>
      </c>
      <c r="E1501" s="1" t="s">
        <v>24</v>
      </c>
      <c r="F1501" s="1" t="s">
        <v>25</v>
      </c>
      <c r="G1501" s="9">
        <v>1257592.4099999999</v>
      </c>
      <c r="H1501" s="1">
        <v>1876517.1</v>
      </c>
      <c r="I1501" s="1">
        <v>341</v>
      </c>
      <c r="J1501" s="1">
        <v>108</v>
      </c>
      <c r="K1501" s="1">
        <v>229372</v>
      </c>
      <c r="L1501" s="1" t="s">
        <v>19</v>
      </c>
      <c r="M1501" s="1" t="s">
        <v>33</v>
      </c>
      <c r="N1501" s="1">
        <v>1.1000000000000001</v>
      </c>
    </row>
    <row r="1502" spans="1:14" x14ac:dyDescent="0.3">
      <c r="A1502" s="1" t="s">
        <v>3023</v>
      </c>
      <c r="B1502" s="1" t="s">
        <v>3024</v>
      </c>
      <c r="C1502" s="1">
        <v>25</v>
      </c>
      <c r="D1502" s="1" t="s">
        <v>16</v>
      </c>
      <c r="E1502" s="1" t="s">
        <v>76</v>
      </c>
      <c r="F1502" s="1" t="s">
        <v>39</v>
      </c>
      <c r="G1502" s="9">
        <v>104280.61</v>
      </c>
      <c r="H1502" s="1">
        <v>2087960.2</v>
      </c>
      <c r="I1502" s="1">
        <v>466</v>
      </c>
      <c r="J1502" s="1">
        <v>493</v>
      </c>
      <c r="K1502" s="1">
        <v>140642</v>
      </c>
      <c r="L1502" s="1" t="s">
        <v>40</v>
      </c>
      <c r="M1502" s="1" t="s">
        <v>33</v>
      </c>
      <c r="N1502" s="1">
        <v>1.8</v>
      </c>
    </row>
    <row r="1503" spans="1:14" x14ac:dyDescent="0.3">
      <c r="A1503" s="10"/>
      <c r="B1503" s="11"/>
      <c r="C1503" s="11"/>
      <c r="D1503" s="11"/>
      <c r="E1503" s="11"/>
      <c r="F1503" s="11"/>
      <c r="G1503" s="12">
        <f>SUM(G3:G1502)</f>
        <v>1138636583.5199993</v>
      </c>
      <c r="H1503" s="11"/>
      <c r="I1503" s="11"/>
      <c r="J1503" s="11"/>
      <c r="K1503" s="11"/>
      <c r="L1503" s="11"/>
      <c r="M1503" s="11"/>
      <c r="N1503" s="13"/>
    </row>
  </sheetData>
  <mergeCells count="1">
    <mergeCell ref="A1:N1"/>
  </mergeCells>
  <pageMargins left="0.75" right="0.75" top="1" bottom="1" header="0.5" footer="0.5"/>
  <pageSetup orientation="portrait" horizontalDpi="0"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CARD TYPE</vt:lpstr>
      <vt:lpstr>Customer Banking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Mahajan</cp:lastModifiedBy>
  <dcterms:created xsi:type="dcterms:W3CDTF">2026-05-27T14:02:52Z</dcterms:created>
  <dcterms:modified xsi:type="dcterms:W3CDTF">2026-06-04T09:55:07Z</dcterms:modified>
</cp:coreProperties>
</file>